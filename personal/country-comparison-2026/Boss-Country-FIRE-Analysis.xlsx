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ave-By Targets" sheetId="2" state="visible" r:id="rId4"/>
    <sheet name="Visa Pathways" sheetId="3" state="visible" r:id="rId5"/>
    <sheet name="Hybrid Plans" sheetId="4" state="visible" r:id="rId6"/>
    <sheet name="Inputs" sheetId="5" state="visible" r:id="rId7"/>
    <sheet name="Cost-of-Living" sheetId="6" state="visible" r:id="rId8"/>
    <sheet name="Sensitivit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<sst xmlns="http://schemas.openxmlformats.org/spreadsheetml/2006/main" count="334" uniqueCount="262">
  <si>
    <t xml:space="preserve">FIRE Calculator — Multi-Country Retirement Analysis</t>
  </si>
  <si>
    <t xml:space="preserve">Roger / Boss · age 42 today · plan to age 100 · upper-middle-class lifestyle</t>
  </si>
  <si>
    <t xml:space="preserve">Generated: 2026-05-05 · uses RR Dashboard calc engine (calc/*.js)</t>
  </si>
  <si>
    <t xml:space="preserve">Rank</t>
  </si>
  <si>
    <t xml:space="preserve">Country / City</t>
  </si>
  <si>
    <t xml:space="preserve">Annual Spend ($)</t>
  </si>
  <si>
    <t xml:space="preserve">FIRE Age (Safe)</t>
  </si>
  <si>
    <t xml:space="preserve">Years to FIRE</t>
  </si>
  <si>
    <t xml:space="preserve">FIRE # via 4% Rule ($)</t>
  </si>
  <si>
    <t xml:space="preserve">End Balance @ 100 ($)</t>
  </si>
  <si>
    <t xml:space="preserve">Lifetime Spend (58 yrs, $)</t>
  </si>
  <si>
    <t xml:space="preserve">Notes</t>
  </si>
  <si>
    <t xml:space="preserve">🇻🇳 Vietnam (HCM/Da Nang)</t>
  </si>
  <si>
    <t xml:space="preserve">No formal retirement visa yet (5-yr E-visa workaround). Private hospitals (FV, Vinmec) are good and cheap.</t>
  </si>
  <si>
    <t xml:space="preserve">🇵🇭 Philippines (Boracay)</t>
  </si>
  <si>
    <t xml:space="preserve">SRRV retirement visa easy. Imported goods pricey on Boracay; medical evac to Manila/Cebu for serious care.</t>
  </si>
  <si>
    <t xml:space="preserve">🇹🇼 Taiwan (Taichung)</t>
  </si>
  <si>
    <t xml:space="preserve">NHI ~$30/mo per person + private supplement ~$100/mo. Roger speaks Mandarin — huge daily-life lift.</t>
  </si>
  <si>
    <t xml:space="preserve">🇮🇩 Indonesia (Bali, Ubud)</t>
  </si>
  <si>
    <t xml:space="preserve">KITAS retirement visa 55+ (Boss qualifies in 13 years). Prime hospital is BIMC; Singapore for serious care.</t>
  </si>
  <si>
    <t xml:space="preserve">🇹🇭 Thailand (Bangkok)</t>
  </si>
  <si>
    <t xml:space="preserve">LTR / Thailand Elite visa. Bumrungrad/BNH private healthcare ~$3-5k/yr family premium.</t>
  </si>
  <si>
    <t xml:space="preserve">🇨🇳 China (Shanghai)</t>
  </si>
  <si>
    <t xml:space="preserve">Shanghai tier-1 cost. ParkwayHealth/UFH expat clinics are pricey. Visa &amp; capital controls add friction.</t>
  </si>
  <si>
    <t xml:space="preserve">🇯🇵 Japan (Tokyo)</t>
  </si>
  <si>
    <t xml:space="preserve">NHI is excellent and cheap (~$300/mo couple post-65). Japanese language is the daily-life tax.</t>
  </si>
  <si>
    <t xml:space="preserve">🇺🇸 US (Massachusetts/Boston metro)</t>
  </si>
  <si>
    <t xml:space="preserve">ACA marketplace pre-65, Medicare 65+. Family is settled, no relocation cost. Highest housing in lineup.</t>
  </si>
  <si>
    <t xml:space="preserve">🇸🇬 Singapore</t>
  </si>
  <si>
    <t xml:space="preserve">Most expensive in Asia. Hard to get long-stay residency without employment. IPMI ~$8-10k/yr for 50s couple.</t>
  </si>
  <si>
    <t xml:space="preserve">SAFE mode = lifecycle feasible AND 2× spend buffer at age 60 AND 3× spend buffer at age 67. End Balance is in TODAY'S purchasing power (real $).</t>
  </si>
  <si>
    <t xml:space="preserve">Save-By Targets — How Much You Need on FIRE Day</t>
  </si>
  <si>
    <t xml:space="preserve">Three views: conservative 4% rule (no SS) · calc-engine required (with SS) · nominal Book Value at FIRE day</t>
  </si>
  <si>
    <t xml:space="preserve">Country / Plan</t>
  </si>
  <si>
    <t xml:space="preserve">FIRE Age</t>
  </si>
  <si>
    <t xml:space="preserve">Annual Spend</t>
  </si>
  <si>
    <t xml:space="preserve">4% Rule (conservative)</t>
  </si>
  <si>
    <t xml:space="preserve">Calc engine required (real $)</t>
  </si>
  <si>
    <t xml:space="preserve">Broker statement on FIRE day (nominal)</t>
  </si>
  <si>
    <t xml:space="preserve">Cushion vs 4% rule</t>
  </si>
  <si>
    <t xml:space="preserve">Cushion %</t>
  </si>
  <si>
    <t xml:space="preserve">US (Massachusetts)</t>
  </si>
  <si>
    <t xml:space="preserve">Taiwan (Taichung)</t>
  </si>
  <si>
    <t xml:space="preserve">Thailand (Bangkok)</t>
  </si>
  <si>
    <t xml:space="preserve">China (Shanghai)</t>
  </si>
  <si>
    <t xml:space="preserve">Vietnam (HCM/Da Nang)</t>
  </si>
  <si>
    <t xml:space="preserve">Philippines (Boracay)</t>
  </si>
  <si>
    <t xml:space="preserve">Indonesia (Bali, Ubud)</t>
  </si>
  <si>
    <t xml:space="preserve">Japan (Tokyo)</t>
  </si>
  <si>
    <t xml:space="preserve">Singapore</t>
  </si>
  <si>
    <t xml:space="preserve">Hybrid: Japan + Taiwan</t>
  </si>
  <si>
    <t xml:space="preserve">Hybrid: Japan + Thailand</t>
  </si>
  <si>
    <t xml:space="preserve">Hybrid: Japan + Philippines</t>
  </si>
  <si>
    <t xml:space="preserve">Save-By Ladder — Universal Milestones</t>
  </si>
  <si>
    <t xml:space="preserve">Country-independent during accumulation. As Boss's portfolio grows, more retirement options become feasible.</t>
  </si>
  <si>
    <t xml:space="preserve">Age</t>
  </si>
  <si>
    <t xml:space="preserve">Year</t>
  </si>
  <si>
    <t xml:space="preserve">Real Portfolio</t>
  </si>
  <si>
    <t xml:space="preserve">Nominal Book Value</t>
  </si>
  <si>
    <t xml:space="preserve">Unlocks</t>
  </si>
  <si>
    <t xml:space="preserve">2026</t>
  </si>
  <si>
    <t xml:space="preserve">(today's starting position)</t>
  </si>
  <si>
    <t xml:space="preserve">Roger 401k $83k + taxable $390k</t>
  </si>
  <si>
    <t xml:space="preserve">2033</t>
  </si>
  <si>
    <t xml:space="preserve">Still 5+ yrs from any FIRE option</t>
  </si>
  <si>
    <t xml:space="preserve">First seven-figure milestone</t>
  </si>
  <si>
    <t xml:space="preserve">2037</t>
  </si>
  <si>
    <t xml:space="preserve">Vietnam · Philippines (FIRE @ 54)</t>
  </si>
  <si>
    <t xml:space="preserve">Cheapest 2 countries unlock</t>
  </si>
  <si>
    <t xml:space="preserve">2039</t>
  </si>
  <si>
    <t xml:space="preserve">Taiwan · Indonesia (Bali) FIRE @ 55, Thailand FIRE @ 56</t>
  </si>
  <si>
    <t xml:space="preserve">Mid-tier Asia unlocks</t>
  </si>
  <si>
    <t xml:space="preserve">2041</t>
  </si>
  <si>
    <t xml:space="preserve">China · Japan (FIRE @ 57), all 3 Hybrid plans unlock</t>
  </si>
  <si>
    <t xml:space="preserve">Hybrid plans become viable</t>
  </si>
  <si>
    <t xml:space="preserve">2043</t>
  </si>
  <si>
    <t xml:space="preserve">US (Massachusetts) FIRE @ 59</t>
  </si>
  <si>
    <t xml:space="preserve">Stay-in-US becomes feasible</t>
  </si>
  <si>
    <t xml:space="preserve">2045</t>
  </si>
  <si>
    <t xml:space="preserve">Singapore math feasible — but visa GIP needs S$10M (out of reach)</t>
  </si>
  <si>
    <t xml:space="preserve">Theoretical only without family / business path</t>
  </si>
  <si>
    <t xml:space="preserve">Notes: Real Portfolio is in TODAY's purchasing power. Nominal Book Value is what your broker statement will literally read in that year (after 3% inflation drift). Cushion = (Calc engine required) − (4% rule). Negative cushion is OK because Social Security at age 67 covers the gap.</t>
  </si>
  <si>
    <t xml:space="preserve">Visa Pathways — Strategy by Country (May 2026, Updated)</t>
  </si>
  <si>
    <t xml:space="preserve">Reflects Boss's Taiwanese citizenship + Compatriot Pass for China + Japan Oct 2025 Business Manager reform</t>
  </si>
  <si>
    <t xml:space="preserve">Country</t>
  </si>
  <si>
    <t xml:space="preserve">Difficulty</t>
  </si>
  <si>
    <t xml:space="preserve">Best Visa</t>
  </si>
  <si>
    <t xml:space="preserve">Tier / What it gives you</t>
  </si>
  <si>
    <t xml:space="preserve">Key Requirements</t>
  </si>
  <si>
    <t xml:space="preserve">Cost</t>
  </si>
  <si>
    <t xml:space="preserve">Duration</t>
  </si>
  <si>
    <t xml:space="preserve">Path to PR</t>
  </si>
  <si>
    <t xml:space="preserve">N/A</t>
  </si>
  <si>
    <t xml:space="preserve">N/A — Taiwanese citizen</t>
  </si>
  <si>
    <t xml:space="preserve">No visa needed · NHI from day one</t>
  </si>
  <si>
    <t xml:space="preserve">Boss holds Taiwanese citizenship. No visa, no Gold Card, no APRC needed. Just register household and request NHI. The 6-month residency rule for returning citizens to access NHI applies, but no other visa friction.</t>
  </si>
  <si>
    <t xml:space="preserve">— (citizen)</t>
  </si>
  <si>
    <t xml:space="preserve">Permanent (citizen)</t>
  </si>
  <si>
    <t xml:space="preserve">Already at home. Taiwan ID enables NHI, real estate, banking, voting — full citizenship rights.</t>
  </si>
  <si>
    <t xml:space="preserve">US (Massachusetts/Boston metro)</t>
  </si>
  <si>
    <t xml:space="preserve">N/A — US citizen</t>
  </si>
  <si>
    <t xml:space="preserve">No visa needed</t>
  </si>
  <si>
    <t xml:space="preserve">No visa or residency action required.</t>
  </si>
  <si>
    <t xml:space="preserve">—</t>
  </si>
  <si>
    <t xml:space="preserve">Permanent</t>
  </si>
  <si>
    <t xml:space="preserve">Already at home.</t>
  </si>
  <si>
    <t xml:space="preserve">Easy</t>
  </si>
  <si>
    <r>
      <rPr>
        <sz val="10"/>
        <rFont val="Arial"/>
        <family val="0"/>
        <charset val="1"/>
      </rPr>
      <t xml:space="preserve">Taiwan Compatriot Pass (</t>
    </r>
    <r>
      <rPr>
        <sz val="10"/>
        <rFont val="DejaVu Sans"/>
        <family val="2"/>
      </rPr>
      <t xml:space="preserve">台胞證</t>
    </r>
    <r>
      <rPr>
        <sz val="10"/>
        <rFont val="Arial"/>
        <family val="0"/>
        <charset val="1"/>
      </rPr>
      <t xml:space="preserve">)</t>
    </r>
  </si>
  <si>
    <t xml:space="preserve">5-yr permit, indefinite stay since 2017</t>
  </si>
  <si>
    <t xml:space="preserve">Held by Taiwan residents/citizens. Card issued at Chinese consulates or via Hong Kong/Macau. 5-year validity, 32 pages. Single-entry version (3-mo max stay) can be upgraded at local Exit-Entry Administration (EEA) office to long-term residence permit. Boss qualifies via Taiwan citizenship — does NOT need a Chinese visa.</t>
  </si>
  <si>
    <t xml:space="preserve">~$50-100 USD per 5-yr renewal</t>
  </si>
  <si>
    <t xml:space="preserve">5-yr renewable. Stay until permit expiration (effectively unlimited since 2017 reform).</t>
  </si>
  <si>
    <t xml:space="preserve">Compatriot Pass holders can renew in mainland China and continue residence indefinitely. Effective long-term residence pathway without needing a Chinese D visa (PR).</t>
  </si>
  <si>
    <t xml:space="preserve">SRRV (Special Resident Retiree's Visa)</t>
  </si>
  <si>
    <t xml:space="preserve">Permanent retirement residency</t>
  </si>
  <si>
    <t xml:space="preserve">Age 50+: $10k bank deposit (with $800+/mo pension proof, $1k for dependents) OR $20k deposit (no pension). Age 40-49: $25k deposit (with pension) or $50k (no pension). Boss FIREs at 54 → 50+ tier. Apostilled US police clearance + medical certificate.</t>
  </si>
  <si>
    <t xml:space="preserve">$1,400 USD principal + $300/dependent application fee</t>
  </si>
  <si>
    <t xml:space="preserve">Indefinite stay, multi-entry, no minimum stay required</t>
  </si>
  <si>
    <t xml:space="preserve">SRRV IS permanent residency. Renewable indefinitely. Convertible to citizenship after 10 yrs continuous residence.</t>
  </si>
  <si>
    <t xml:space="preserve">LTR Wealthy Pensioner</t>
  </si>
  <si>
    <t xml:space="preserve">10-year visa, foreign-income tax exempt</t>
  </si>
  <si>
    <t xml:space="preserve">Wealthy Pensioner track (age 50+): $80k/yr passive income OR $40k/yr passive + $250k Thai investment. Wealthy Global Citizen track: $1M global net assets (income req REMOVED Feb 2025). Boss qualifies for either at FIRE.</t>
  </si>
  <si>
    <t xml:space="preserve">50,000 THB (~$1,400 USD) for 10 yrs</t>
  </si>
  <si>
    <t xml:space="preserve">5 yrs + 5 yr renewal = 10 yrs</t>
  </si>
  <si>
    <t xml:space="preserve">No direct PR via LTR. Renewable indefinitely. Permanent residency requires separate process (3-yr work permit history typically).</t>
  </si>
  <si>
    <t xml:space="preserve">Easy-Medium</t>
  </si>
  <si>
    <t xml:space="preserve">Retirement KITAS (E33F) → Silver Hair (E33E) at 60</t>
  </si>
  <si>
    <t xml:space="preserve">Age-55 retirement visa</t>
  </si>
  <si>
    <t xml:space="preserve">E33F (age 55+): $3,000/mo passive income proof + sponsor + domestic helper + 12-mo property lease. E33E "Silver Hair" (age 60+): $3k/mo income + $2k bank balance, no sponsor/helper needed, 5-yr validity. Boss FIREs Bali at 55 → exact fit for E33F. At age 60 → upgrade to Silver Hair.</t>
  </si>
  <si>
    <t xml:space="preserve">KITAS: ~$1,500-2,000 USD (varies by agent) · 5-yr renewal</t>
  </si>
  <si>
    <t xml:space="preserve">E33F 1-yr renewable · E33E 5-yr renewable</t>
  </si>
  <si>
    <t xml:space="preserve">KITAP (permanent residence) after 5 yrs continuous KITAS. Or Golden Visa: IDR 38B (~$2.4M USD) for 5-yr residence; IDR 76B (~$4.8M) for 10-yr.</t>
  </si>
  <si>
    <t xml:space="preserve">Medium</t>
  </si>
  <si>
    <t xml:space="preserve">DT investor visa OR rolling e-visa</t>
  </si>
  <si>
    <t xml:space="preserve">No retirement visa exists</t>
  </si>
  <si>
    <t xml:space="preserve">DT (investor): tied to capital invested in a Vietnamese company. Tiered DT1-DT4. DT4 (most retiree-friendly) requires capital deployment, 1-yr validity renewable. E-visa: 90 days, multiple-entry, easily extended (one extension typical). Border runs work but informal.</t>
  </si>
  <si>
    <t xml:space="preserve">E-visa: $25 USD · DT investor: variable + business setup</t>
  </si>
  <si>
    <t xml:space="preserve">E-visa 90 days renewable · DT4 1 yr · DT2 5 yrs (for $3M+ investment)</t>
  </si>
  <si>
    <t xml:space="preserve">Temporary Residence Card (TRC) 1-3 yrs via investment / marriage / work. Permanent Residence Card (PRC) requires 3 yrs continuous TRC residency.</t>
  </si>
  <si>
    <t xml:space="preserve">Very Hard</t>
  </si>
  <si>
    <t xml:space="preserve">Designated Activities OR Business Manager (Oct 2025 reform) OR Hybrid &lt;180 days</t>
  </si>
  <si>
    <r>
      <rPr>
        <sz val="10"/>
        <rFont val="Arial"/>
        <family val="0"/>
        <charset val="1"/>
      </rPr>
      <t xml:space="preserve">(1) DESIGNATED ACTIVITIES: case-by-case discretion for wealthy retirees, no published threshold (~$10M+ assets anecdotally), Japan-based bank, Japanese-speaking immigration lawyer needed. (2) BUSINESS MANAGER (Oct 16, 2025 reform — 6× harder): minimum capital ¥30M (~$200k USD, was ¥5M), MUST hire ≥1 full-time Japanese national OR Permanent Resident OR Spouse/Child of Japanese OR Long-Term Resident, applicant or hired employee must hold JLPT N2 / CEFR B2 Japanese, 3+ yrs management experience OR master's/doctoral degree, business plan must be feasibility-reviewed by certified SME advisor (</t>
    </r>
    <r>
      <rPr>
        <sz val="10"/>
        <rFont val="DejaVu Sans"/>
        <family val="2"/>
      </rPr>
      <t xml:space="preserve">中小企業診断士</t>
    </r>
    <r>
      <rPr>
        <sz val="10"/>
        <rFont val="Arial"/>
        <family val="0"/>
        <charset val="1"/>
      </rPr>
      <t xml:space="preserve">) / tax accountant / CPA. (3) HSP (Highly Skilled Professional): points-based 70+ pts via salary, education, age, language. Requires Japan employer or self-sponsored business. (4) HYBRID &lt;180 DAYS: see slide — visa-free tourist (90 days × 2 with re-entry), avoid tax residency.</t>
    </r>
  </si>
  <si>
    <t xml:space="preserve">Designated Activities ~$30 + lawyer ($5-15k) · Business Manager ~$200k capital + ¥1M annual employee salary · HSP ~$30</t>
  </si>
  <si>
    <t xml:space="preserve">6 mo to 5 yrs · case-by-case at renewal</t>
  </si>
  <si>
    <t xml:space="preserve">10 yrs continuous residency standard. HSP holders: 3 yrs (70 pts) or 1 yr (80 pts).</t>
  </si>
  <si>
    <t xml:space="preserve">Global Investor Programme (S$10M)</t>
  </si>
  <si>
    <t xml:space="preserve">GIP (PR by investment): S$10M (~$7.5M USD) into a Singapore business. ONE Pass: for top earners ($30k+/mo employed, or VC-backed founder, or top creative/scientific talent) — requires active employment or business. LTVP (Long-Term Visit Pass): only via family — Singapore citizen/PR spouse, parent, or child as sponsor.</t>
  </si>
  <si>
    <t xml:space="preserve">GIP application + S$10M investment commitment · ONE Pass S$300 USD</t>
  </si>
  <si>
    <t xml:space="preserve">GIP → PR (permanent) · ONE Pass 5 yrs renewable</t>
  </si>
  <si>
    <t xml:space="preserve">GIP is PR from day 1. 2-yr-PR → citizenship eligible (but Singapore disallows dual citizenship — Boss would have to renounce US).</t>
  </si>
  <si>
    <t xml:space="preserve">Country-by-Country Strategy &amp; Caveats</t>
  </si>
  <si>
    <t xml:space="preserve">#</t>
  </si>
  <si>
    <t xml:space="preserve">Strategy</t>
  </si>
  <si>
    <t xml:space="preserve">Caveats</t>
  </si>
  <si>
    <t xml:space="preserve">Taiwan is the simplest landing zone in the lineup. Boss can move whenever. Mandarin native. Family network. NHI provides world-class healthcare at ~$30/mo per person. No tax-residency complications until 183+ days/yr (worldwide income tax kicks in then — careful structuring on US-source investments needed via TW CPA).</t>
  </si>
  <si>
    <t xml:space="preserve">Stay where you are. Healthcare via ACA pre-65, Medicare 65+. The simplest path on paper, but the most expensive on cost.</t>
  </si>
  <si>
    <r>
      <rPr>
        <sz val="10"/>
        <rFont val="Arial"/>
        <family val="0"/>
        <charset val="1"/>
      </rPr>
      <t xml:space="preserve">Boss's Taiwan citizenship is the key — China is suddenly accessible. Use </t>
    </r>
    <r>
      <rPr>
        <sz val="10"/>
        <rFont val="DejaVu Sans"/>
        <family val="2"/>
      </rPr>
      <t xml:space="preserve">台胞證 </t>
    </r>
    <r>
      <rPr>
        <sz val="10"/>
        <rFont val="Arial"/>
        <family val="0"/>
        <charset val="1"/>
      </rPr>
      <t xml:space="preserve">for indefinite stays in Shanghai or any tier-1 city. Mandarin native. Banking and daily life are friction-free. Visa worry essentially eliminated.</t>
    </r>
  </si>
  <si>
    <t xml:space="preserve">Strongest visa fit in the lineup. Process is 20-30 working days. Deposit returns to you when you exit. The SRRV is what the Philippines designed FOR fire-retirees like Boss.</t>
  </si>
  <si>
    <t xml:space="preserve">Apply LTR Wealthy Global Citizen at FIRE (when net worth &gt; $1M, easily met by year 10-12). Or LTR Wealthy Pensioner if going at $80k+/yr spend in TH. Foreign-sourced income blanket exemption is the killer benefit.</t>
  </si>
  <si>
    <t xml:space="preserve">Time FIRE departure for age 55 EXACTLY to drop into the E33F lane. Renew yearly for 5 yrs → upgrade to E33E Silver Hair (no sponsor) at 60 → KITAP (PR) after another 5 yrs of KITAS continuity at age ~65.</t>
  </si>
  <si>
    <t xml:space="preserve">Two paths. Realistic FIRE path: rolling e-visa with extensions (~18 months feasible before border run needed). Stable path: DT investor visa via setting up a small Vietnamese entity (consulting/services) with $50-100k seed capital — gives you a TRC.</t>
  </si>
  <si>
    <t xml:space="preserve">Three viable paths post Oct 2025: (A) DESIGNATED ACTIVITIES — apply with $10M+ asset dossier and immigration lawyer (~$10-15k legal fees). Discretionary but highest-quality outcome. (B) BUSINESS MANAGER (the new hard mode) — set up a kabushiki-kaisha (KK), inject ¥30M capital, hire one Japanese citizen/PR full-time (typical salary ¥3-5M/yr ≈ $20-33k), get the JLPT N2 OR hire someone who has it, get an SME advisor to bless the business plan. Total Year 1 cost: ~$200k capital + $25-35k salary + $10k professional fees = $235-245k upfront. The visa is then renewable as long as the business runs. (C) HYBRID — see Hybrid Plan slide. Stay &lt;180 days/yr in Japan (visa-free 90-day stints), avoid tax residency, base in Taiwan or another country. Best ROI for Boss's profile.</t>
  </si>
  <si>
    <t xml:space="preserve">For a $1M-$3M FIRE retiree, Singapore is structurally inaccessible. GIP threshold is 7-10× Boss's likely FIRE net worth. Without family ties or active business, the only realistic Singapore exposure is rolling 90-day social visit passes — fine for vacations, not for retirement.</t>
  </si>
  <si>
    <t xml:space="preserve">Hybrid Plans — Japan + Partner Country (&lt;180 Days Each)</t>
  </si>
  <si>
    <t xml:space="preserve">Stay &lt;180 days/yr in each country = no tax residency anywhere extra. Visa-free or simple long-stay in both bases.</t>
  </si>
  <si>
    <t xml:space="preserve">Plan</t>
  </si>
  <si>
    <t xml:space="preserve">Monthly Blended</t>
  </si>
  <si>
    <t xml:space="preserve">End Balance @ 100</t>
  </si>
  <si>
    <t xml:space="preserve">Partner Visa</t>
  </si>
  <si>
    <t xml:space="preserve">Note</t>
  </si>
  <si>
    <t xml:space="preserve">Hybrid: Japan + Taiwan (50/50)</t>
  </si>
  <si>
    <t xml:space="preserve">TW citizen — no visa, NHI access</t>
  </si>
  <si>
    <t xml:space="preserve">BOSS'S BEST FIT. Mandarin native + Japanese exposure. 2.5-hr flight Tokyo↔Taipei.</t>
  </si>
  <si>
    <t xml:space="preserve">Hybrid: Japan + Thailand (50/50)</t>
  </si>
  <si>
    <t xml:space="preserve">LTR Wealthy Pensioner ($80k passive)</t>
  </si>
  <si>
    <t xml:space="preserve">CULTURE STRETCH. Tropical-urban contrast. LTR foreign-income tax exempt is huge.</t>
  </si>
  <si>
    <t xml:space="preserve">Hybrid: Japan + Philippines (50/50)</t>
  </si>
  <si>
    <t xml:space="preserve">SRRV ($10k deposit at 50+)</t>
  </si>
  <si>
    <t xml:space="preserve">FASTEST FIRE. English-speaking beach base. Cheapest hybrid.</t>
  </si>
  <si>
    <t xml:space="preserve">Hybrid: Japan + Indonesia/Bali (50/50)</t>
  </si>
  <si>
    <t xml:space="preserve">Taiwan only</t>
  </si>
  <si>
    <t xml:space="preserve">— (TW citizen)</t>
  </si>
  <si>
    <t xml:space="preserve">Solo Taiwan baseline. Fastest of all in this set.</t>
  </si>
  <si>
    <t xml:space="preserve">Japan only</t>
  </si>
  <si>
    <t xml:space="preserve">— (Japan visa is the hard part)</t>
  </si>
  <si>
    <t xml:space="preserve">Solo Japan baseline. Same FIRE age as JP+TW hybrid; no visa solution included.</t>
  </si>
  <si>
    <t xml:space="preserve">Hybrid math:</t>
  </si>
  <si>
    <t xml:space="preserve">• 6 mo Japan (50% of $66k = $33k) + 6 mo Partner (50% of partner spend) + ~$3k flights/transit per year.</t>
  </si>
  <si>
    <t xml:space="preserve">• Japan tax residency triggers at 1+ yr stays (worldwide income, 5-45% + 10% local). &lt;180 days = visa-free tourist + no tax residency.</t>
  </si>
  <si>
    <t xml:space="preserve">• Partner-country tax residency typically triggers at 183+ days/yr. Stay under in both = clean.</t>
  </si>
  <si>
    <t xml:space="preserve">• Healthcare: NHI in Japan (need residence permit, complicated for &lt;180 days) or international health insurance + cash. In Taiwan: NHI via citizenship.</t>
  </si>
  <si>
    <t xml:space="preserve">• Flights Tokyo↔Taipei: 2.5 hrs, ~$300-500 RT. Tokyo↔Bangkok: 6 hrs, ~$600-900. Tokyo↔Manila: 4 hrs, ~$400-600.</t>
  </si>
  <si>
    <t xml:space="preserve">• "End balance @ 100" is the surplus left in your portfolio at age 100, in TODAY's purchasing power.</t>
  </si>
  <si>
    <t xml:space="preserve">Boss's RR Dashboard Baseline Parameters</t>
  </si>
  <si>
    <t xml:space="preserve">Section</t>
  </si>
  <si>
    <t xml:space="preserve">Parameter</t>
  </si>
  <si>
    <t xml:space="preserve">Value</t>
  </si>
  <si>
    <t xml:space="preserve">Demographics</t>
  </si>
  <si>
    <t xml:space="preserve">Roger age</t>
  </si>
  <si>
    <t xml:space="preserve">Rebecca age</t>
  </si>
  <si>
    <t xml:space="preserve">Kid 1 age</t>
  </si>
  <si>
    <t xml:space="preserve">Kid 2 age</t>
  </si>
  <si>
    <t xml:space="preserve">Plan to age</t>
  </si>
  <si>
    <t xml:space="preserve">Income</t>
  </si>
  <si>
    <t xml:space="preserve">Annual income ($)</t>
  </si>
  <si>
    <t xml:space="preserve">Raise rate</t>
  </si>
  <si>
    <t xml:space="preserve">Effective tax rate</t>
  </si>
  <si>
    <t xml:space="preserve">Portfolio</t>
  </si>
  <si>
    <t xml:space="preserve">Roger 401(k) Trad ($)</t>
  </si>
  <si>
    <t xml:space="preserve">Roger 401(k) Roth ($)</t>
  </si>
  <si>
    <t xml:space="preserve">Roger taxable ($)</t>
  </si>
  <si>
    <t xml:space="preserve">Rebecca taxable ($)</t>
  </si>
  <si>
    <t xml:space="preserve">Cash savings ($)</t>
  </si>
  <si>
    <t xml:space="preserve">Other assets ($)</t>
  </si>
  <si>
    <t xml:space="preserve">TOTAL NET WORTH ($)</t>
  </si>
  <si>
    <t xml:space="preserve">Returns</t>
  </si>
  <si>
    <t xml:space="preserve">Stock return (nominal)</t>
  </si>
  <si>
    <t xml:space="preserve">401(k) return (nominal)</t>
  </si>
  <si>
    <t xml:space="preserve">Inflation</t>
  </si>
  <si>
    <t xml:space="preserve">Real return (stocks)</t>
  </si>
  <si>
    <t xml:space="preserve">Contributions</t>
  </si>
  <si>
    <t xml:space="preserve">Monthly savings ($)</t>
  </si>
  <si>
    <t xml:space="preserve">Annual savings ($)</t>
  </si>
  <si>
    <t xml:space="preserve">401(k) Trad ($)</t>
  </si>
  <si>
    <t xml:space="preserve">401(k) Roth ($)</t>
  </si>
  <si>
    <t xml:space="preserve">Employer match ($)</t>
  </si>
  <si>
    <t xml:space="preserve">TOTAL ANNUAL ($)</t>
  </si>
  <si>
    <t xml:space="preserve">SS</t>
  </si>
  <si>
    <t xml:space="preserve">SS claim age</t>
  </si>
  <si>
    <t xml:space="preserve">SS COLA rate</t>
  </si>
  <si>
    <t xml:space="preserve">Buffers</t>
  </si>
  <si>
    <t xml:space="preserve">Pre-unlock buffer (× spend)</t>
  </si>
  <si>
    <t xml:space="preserve">SS-claim buffer (× spend)</t>
  </si>
  <si>
    <t xml:space="preserve">Withdrawal</t>
  </si>
  <si>
    <t xml:space="preserve">SWR (4% rule)</t>
  </si>
  <si>
    <t xml:space="preserve">2026 Upper-Middle-Class Cost of Living — Researched Monthly Breakdown</t>
  </si>
  <si>
    <t xml:space="preserve">Couple, post-college (kids grown), local public + supplementary private healthcare</t>
  </si>
  <si>
    <t xml:space="preserve">Housing</t>
  </si>
  <si>
    <t xml:space="preserve">Food / Dining</t>
  </si>
  <si>
    <t xml:space="preserve">Healthcare</t>
  </si>
  <si>
    <t xml:space="preserve">Transport</t>
  </si>
  <si>
    <t xml:space="preserve">Entertainment / Travel</t>
  </si>
  <si>
    <t xml:space="preserve">Utilities + Misc</t>
  </si>
  <si>
    <t xml:space="preserve">Monthly Total ($)</t>
  </si>
  <si>
    <t xml:space="preserve">Annual Total ($)</t>
  </si>
  <si>
    <t xml:space="preserve">Methodology notes:</t>
  </si>
  <si>
    <t xml:space="preserve">• Housing: 2-3BR in nice neighborhood (city-center or expat-friendly area), rental.</t>
  </si>
  <si>
    <t xml:space="preserve">• Healthcare: local public + private supplement (NHI in Taiwan/Japan, IPMI in Singapore, BIMC/private in Bali, etc.).</t>
  </si>
  <si>
    <t xml:space="preserve">• Transport: car ownership + insurance OR public transit + occasional taxi/Grab.</t>
  </si>
  <si>
    <t xml:space="preserve">• Entertainment / Travel: dining out 3-4×/week + 1 international trip per year + hobbies.</t>
  </si>
  <si>
    <t xml:space="preserve">• Utilities + Misc: electricity, water, internet, mobile, household help, gym, clothing, miscellaneous.</t>
  </si>
  <si>
    <t xml:space="preserve">• Excluded: international school for children (kids will be grown by Boss's FIRE age — already modeled in calc engine).</t>
  </si>
  <si>
    <t xml:space="preserve">• Sources: Numbeo, Expatistan, Pacific Prime Insurance, International Living, Asia Lifestyle Magazine, retirement-visa research blogs (May 2026).</t>
  </si>
  <si>
    <t xml:space="preserve">Sensitivity Analysis — How does FIRE age shift with ±20% spend?</t>
  </si>
  <si>
    <t xml:space="preserve">If your real-world spend lands above or below Boss's baseline, here's the impact.</t>
  </si>
  <si>
    <t xml:space="preserve">Baseline Spend</t>
  </si>
  <si>
    <t xml:space="preserve">Lean (-20%)</t>
  </si>
  <si>
    <t xml:space="preserve">Baseline FIRE Age</t>
  </si>
  <si>
    <t xml:space="preserve">Lean FIRE # ($)</t>
  </si>
  <si>
    <t xml:space="preserve">Comfortable (+20%)</t>
  </si>
  <si>
    <t xml:space="preserve">Comfortable FIRE # ($)</t>
  </si>
  <si>
    <t xml:space="preserve">Note: this tab uses the 4% rule for FIRE-number sensitivity. The dashboard-engine FIRE-age sensitivity (which accounts for SS, taxes, and 401(k) lock) requires re-running the runner — as a rule of thumb, every $10k of additional annual spend pushes FIRE age out by ~0.8-1.2 years.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</si>
</sst>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\$#,##0;&quot;($&quot;#,##0\);\-"/>
    <numFmt numFmtId="167" formatCode="\+0%;\-0%;\-"/>
    <numFmt numFmtId="168" formatCode="#,##0;\(#,##0\);\-"/>
    <numFmt numFmtId="169" formatCode="0.0%;\(0.0%\)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1"/>
      <color rgb="FF8B6914"/>
      <name val="Arial"/>
      <family val="0"/>
      <charset val="1"/>
    </font>
    <font>
      <sz val="11"/>
      <color rgb="FFC04B4B"/>
      <name val="Arial"/>
      <family val="0"/>
      <charset val="1"/>
    </font>
    <font>
      <b val="true"/>
      <sz val="11"/>
      <color rgb="FFC04B4B"/>
      <name val="Arial"/>
      <family val="0"/>
      <charset val="1"/>
    </font>
    <font>
      <sz val="11"/>
      <color rgb="FF2C9F6B"/>
      <name val="Arial"/>
      <family val="0"/>
      <charset val="1"/>
    </font>
    <font>
      <b val="true"/>
      <sz val="11"/>
      <color rgb="FF2C9F6B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4A90E2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b val="true"/>
      <sz val="11"/>
      <color rgb="FFE8B43A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7DA"/>
        <bgColor rgb="FFFFFFFF"/>
      </patternFill>
    </fill>
    <fill>
      <patternFill patternType="solid">
        <fgColor rgb="FF4A90E2"/>
        <bgColor rgb="FF2C9F6B"/>
      </patternFill>
    </fill>
    <fill>
      <patternFill patternType="solid">
        <fgColor rgb="FF595959"/>
        <bgColor rgb="FF1F4E78"/>
      </patternFill>
    </fill>
    <fill>
      <patternFill patternType="solid">
        <fgColor rgb="FF2C9F6B"/>
        <bgColor rgb="FF4CAF50"/>
      </patternFill>
    </fill>
    <fill>
      <patternFill patternType="solid">
        <fgColor rgb="FFE8B43A"/>
        <bgColor rgb="FFFFC107"/>
      </patternFill>
    </fill>
    <fill>
      <patternFill patternType="solid">
        <fgColor rgb="FFC04B4B"/>
        <bgColor rgb="FF993366"/>
      </patternFill>
    </fill>
    <fill>
      <patternFill patternType="solid">
        <fgColor rgb="FF4CAF50"/>
        <bgColor rgb="FF2C9F6B"/>
      </patternFill>
    </fill>
    <fill>
      <patternFill patternType="solid">
        <fgColor rgb="FF8BC34A"/>
        <bgColor rgb="FF4CAF50"/>
      </patternFill>
    </fill>
    <fill>
      <patternFill patternType="solid">
        <fgColor rgb="FFFFC107"/>
        <bgColor rgb="FFE8B43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B7B7B7"/>
      <rgbColor rgb="FF808080"/>
      <rgbColor rgb="FF9999FF"/>
      <rgbColor rgb="FFC04B4B"/>
      <rgbColor rgb="FFFFF7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90E2"/>
      <rgbColor rgb="FF4CAF50"/>
      <rgbColor rgb="FF8BC34A"/>
      <rgbColor rgb="FFFFC107"/>
      <rgbColor rgb="FFE8B43A"/>
      <rgbColor rgb="FFFF6600"/>
      <rgbColor rgb="FF595959"/>
      <rgbColor rgb="FF969696"/>
      <rgbColor rgb="FF003366"/>
      <rgbColor rgb="FF2C9F6B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5" min="4" style="1" width="13"/>
    <col collapsed="false" customWidth="true" hidden="false" outlineLevel="0" max="7" min="6" style="1" width="18"/>
    <col collapsed="false" customWidth="true" hidden="false" outlineLevel="0" max="8" min="8" style="1" width="22"/>
    <col collapsed="false" customWidth="true" hidden="false" outlineLevel="0" max="9" min="9" style="1" width="80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</row>
    <row r="6" customFormat="false" ht="15" hidden="false" customHeight="true" outlineLevel="0" collapsed="false">
      <c r="A6" s="6" t="n">
        <v>1</v>
      </c>
      <c r="B6" s="7" t="s">
        <v>12</v>
      </c>
      <c r="C6" s="8" t="n">
        <v>36000</v>
      </c>
      <c r="D6" s="6" t="n">
        <v>54</v>
      </c>
      <c r="E6" s="6" t="n">
        <v>12</v>
      </c>
      <c r="F6" s="9" t="n">
        <f aca="false">C6/0.04</f>
        <v>900000</v>
      </c>
      <c r="G6" s="9" t="n">
        <v>600922.84457317</v>
      </c>
      <c r="H6" s="9" t="n">
        <f aca="false">C6*58</f>
        <v>2088000</v>
      </c>
      <c r="I6" s="10" t="s">
        <v>13</v>
      </c>
    </row>
    <row r="7" customFormat="false" ht="15" hidden="false" customHeight="true" outlineLevel="0" collapsed="false">
      <c r="A7" s="6" t="n">
        <v>2</v>
      </c>
      <c r="B7" s="7" t="s">
        <v>14</v>
      </c>
      <c r="C7" s="8" t="n">
        <v>30000</v>
      </c>
      <c r="D7" s="6" t="n">
        <v>54</v>
      </c>
      <c r="E7" s="6" t="n">
        <v>12</v>
      </c>
      <c r="F7" s="9" t="n">
        <f aca="false">C7/0.04</f>
        <v>750000</v>
      </c>
      <c r="G7" s="9" t="n">
        <v>1001338.02262553</v>
      </c>
      <c r="H7" s="9" t="n">
        <f aca="false">C7*58</f>
        <v>1740000</v>
      </c>
      <c r="I7" s="10" t="s">
        <v>15</v>
      </c>
    </row>
    <row r="8" customFormat="false" ht="15" hidden="false" customHeight="true" outlineLevel="0" collapsed="false">
      <c r="A8" s="6" t="n">
        <v>3</v>
      </c>
      <c r="B8" s="7" t="s">
        <v>16</v>
      </c>
      <c r="C8" s="8" t="n">
        <v>42000</v>
      </c>
      <c r="D8" s="6" t="n">
        <v>55</v>
      </c>
      <c r="E8" s="6" t="n">
        <v>13</v>
      </c>
      <c r="F8" s="9" t="n">
        <f aca="false">C8/0.04</f>
        <v>1050000</v>
      </c>
      <c r="G8" s="9" t="n">
        <v>710510.021576641</v>
      </c>
      <c r="H8" s="9" t="n">
        <f aca="false">C8*58</f>
        <v>2436000</v>
      </c>
      <c r="I8" s="10" t="s">
        <v>17</v>
      </c>
    </row>
    <row r="9" customFormat="false" ht="15" hidden="false" customHeight="true" outlineLevel="0" collapsed="false">
      <c r="A9" s="6" t="n">
        <v>4</v>
      </c>
      <c r="B9" s="7" t="s">
        <v>18</v>
      </c>
      <c r="C9" s="8" t="n">
        <v>42000</v>
      </c>
      <c r="D9" s="6" t="n">
        <v>55</v>
      </c>
      <c r="E9" s="6" t="n">
        <v>13</v>
      </c>
      <c r="F9" s="9" t="n">
        <f aca="false">C9/0.04</f>
        <v>1050000</v>
      </c>
      <c r="G9" s="9" t="n">
        <v>710510.021576641</v>
      </c>
      <c r="H9" s="9" t="n">
        <f aca="false">C9*58</f>
        <v>2436000</v>
      </c>
      <c r="I9" s="10" t="s">
        <v>19</v>
      </c>
    </row>
    <row r="10" customFormat="false" ht="15" hidden="false" customHeight="true" outlineLevel="0" collapsed="false">
      <c r="A10" s="6" t="n">
        <v>5</v>
      </c>
      <c r="B10" s="7" t="s">
        <v>20</v>
      </c>
      <c r="C10" s="8" t="n">
        <v>54000</v>
      </c>
      <c r="D10" s="6" t="n">
        <v>56</v>
      </c>
      <c r="E10" s="6" t="n">
        <v>14</v>
      </c>
      <c r="F10" s="9" t="n">
        <f aca="false">C10/0.04</f>
        <v>1350000</v>
      </c>
      <c r="G10" s="9" t="n">
        <v>465097.192710996</v>
      </c>
      <c r="H10" s="9" t="n">
        <f aca="false">C10*58</f>
        <v>3132000</v>
      </c>
      <c r="I10" s="10" t="s">
        <v>21</v>
      </c>
    </row>
    <row r="11" customFormat="false" ht="15" hidden="false" customHeight="true" outlineLevel="0" collapsed="false">
      <c r="A11" s="6" t="n">
        <v>6</v>
      </c>
      <c r="B11" s="7" t="s">
        <v>22</v>
      </c>
      <c r="C11" s="8" t="n">
        <v>66000</v>
      </c>
      <c r="D11" s="6" t="n">
        <v>57</v>
      </c>
      <c r="E11" s="6" t="n">
        <v>15</v>
      </c>
      <c r="F11" s="9" t="n">
        <f aca="false">C11/0.04</f>
        <v>1650000</v>
      </c>
      <c r="G11" s="9" t="n">
        <v>696081.473585587</v>
      </c>
      <c r="H11" s="9" t="n">
        <f aca="false">C11*58</f>
        <v>3828000</v>
      </c>
      <c r="I11" s="10" t="s">
        <v>23</v>
      </c>
    </row>
    <row r="12" customFormat="false" ht="15" hidden="false" customHeight="true" outlineLevel="0" collapsed="false">
      <c r="A12" s="6" t="n">
        <v>7</v>
      </c>
      <c r="B12" s="7" t="s">
        <v>24</v>
      </c>
      <c r="C12" s="8" t="n">
        <v>66000</v>
      </c>
      <c r="D12" s="6" t="n">
        <v>57</v>
      </c>
      <c r="E12" s="6" t="n">
        <v>15</v>
      </c>
      <c r="F12" s="9" t="n">
        <f aca="false">C12/0.04</f>
        <v>1650000</v>
      </c>
      <c r="G12" s="9" t="n">
        <v>696081.473585587</v>
      </c>
      <c r="H12" s="9" t="n">
        <f aca="false">C12*58</f>
        <v>3828000</v>
      </c>
      <c r="I12" s="10" t="s">
        <v>25</v>
      </c>
    </row>
    <row r="13" customFormat="false" ht="15" hidden="false" customHeight="true" outlineLevel="0" collapsed="false">
      <c r="A13" s="6" t="n">
        <v>8</v>
      </c>
      <c r="B13" s="7" t="s">
        <v>26</v>
      </c>
      <c r="C13" s="8" t="n">
        <v>96000</v>
      </c>
      <c r="D13" s="6" t="n">
        <v>59</v>
      </c>
      <c r="E13" s="6" t="n">
        <v>17</v>
      </c>
      <c r="F13" s="9" t="n">
        <f aca="false">C13/0.04</f>
        <v>2400000</v>
      </c>
      <c r="G13" s="9" t="n">
        <v>1030727.07262668</v>
      </c>
      <c r="H13" s="9" t="n">
        <f aca="false">C13*58</f>
        <v>5568000</v>
      </c>
      <c r="I13" s="10" t="s">
        <v>27</v>
      </c>
    </row>
    <row r="14" customFormat="false" ht="15" hidden="false" customHeight="true" outlineLevel="0" collapsed="false">
      <c r="A14" s="6" t="n">
        <v>9</v>
      </c>
      <c r="B14" s="7" t="s">
        <v>28</v>
      </c>
      <c r="C14" s="8" t="n">
        <v>120000</v>
      </c>
      <c r="D14" s="6" t="n">
        <v>61</v>
      </c>
      <c r="E14" s="6" t="n">
        <v>19</v>
      </c>
      <c r="F14" s="9" t="n">
        <f aca="false">C14/0.04</f>
        <v>3000000</v>
      </c>
      <c r="G14" s="9" t="n">
        <v>1172670.13670161</v>
      </c>
      <c r="H14" s="9" t="n">
        <f aca="false">C14*58</f>
        <v>6960000</v>
      </c>
      <c r="I14" s="10" t="s">
        <v>29</v>
      </c>
    </row>
    <row r="16" customFormat="false" ht="15" hidden="false" customHeight="true" outlineLevel="0" collapsed="false">
      <c r="A16" s="4" t="s">
        <v>30</v>
      </c>
      <c r="B16" s="4"/>
      <c r="C16" s="4"/>
      <c r="D16" s="4"/>
      <c r="E16" s="4"/>
      <c r="F16" s="4"/>
      <c r="G16" s="4"/>
      <c r="H16" s="4"/>
      <c r="I16" s="4"/>
    </row>
  </sheetData>
  <mergeCells count="4">
    <mergeCell ref="A1:I1"/>
    <mergeCell ref="A2:I2"/>
    <mergeCell ref="A3:I3"/>
    <mergeCell ref="A16:I16"/>
  </mergeCells>
  <conditionalFormatting sqref="E6:E14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C6:C14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36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1" t="s">
        <v>31</v>
      </c>
      <c r="B1" s="11"/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A2" s="12" t="s">
        <v>32</v>
      </c>
      <c r="B2" s="12"/>
      <c r="C2" s="12"/>
      <c r="D2" s="12"/>
      <c r="E2" s="12"/>
      <c r="F2" s="12"/>
      <c r="G2" s="12"/>
      <c r="H2" s="12"/>
    </row>
    <row r="4" customFormat="false" ht="26.85" hidden="false" customHeight="false" outlineLevel="0" collapsed="false">
      <c r="A4" s="13" t="s">
        <v>33</v>
      </c>
      <c r="B4" s="13" t="s">
        <v>34</v>
      </c>
      <c r="C4" s="13" t="s">
        <v>35</v>
      </c>
      <c r="D4" s="13" t="s">
        <v>36</v>
      </c>
      <c r="E4" s="13" t="s">
        <v>37</v>
      </c>
      <c r="F4" s="13" t="s">
        <v>38</v>
      </c>
      <c r="G4" s="13" t="s">
        <v>39</v>
      </c>
      <c r="H4" s="13" t="s">
        <v>40</v>
      </c>
    </row>
    <row r="5" customFormat="false" ht="52.2" hidden="false" customHeight="false" outlineLevel="0" collapsed="false">
      <c r="A5" s="14" t="s">
        <v>41</v>
      </c>
      <c r="B5" s="15" t="n">
        <v>59</v>
      </c>
      <c r="C5" s="16" t="n">
        <v>96000</v>
      </c>
      <c r="D5" s="17" t="n">
        <v>2400000</v>
      </c>
      <c r="E5" s="18" t="n">
        <v>1849093.05136569</v>
      </c>
      <c r="F5" s="19" t="n">
        <v>3056269.07179993</v>
      </c>
      <c r="G5" s="20" t="n">
        <v>-550906.94863431</v>
      </c>
      <c r="H5" s="21" t="n">
        <v>-0.229544561930963</v>
      </c>
    </row>
    <row r="6" customFormat="false" ht="39.55" hidden="false" customHeight="false" outlineLevel="0" collapsed="false">
      <c r="A6" s="14" t="s">
        <v>42</v>
      </c>
      <c r="B6" s="15" t="n">
        <v>55</v>
      </c>
      <c r="C6" s="16" t="n">
        <v>42000</v>
      </c>
      <c r="D6" s="17" t="n">
        <v>1050000</v>
      </c>
      <c r="E6" s="18" t="n">
        <v>1502196.28555925</v>
      </c>
      <c r="F6" s="19" t="n">
        <v>2206025.88956547</v>
      </c>
      <c r="G6" s="22" t="n">
        <v>452196.285559247</v>
      </c>
      <c r="H6" s="23" t="n">
        <v>0.430663129104045</v>
      </c>
    </row>
    <row r="7" customFormat="false" ht="52.2" hidden="false" customHeight="false" outlineLevel="0" collapsed="false">
      <c r="A7" s="14" t="s">
        <v>43</v>
      </c>
      <c r="B7" s="15" t="n">
        <v>56</v>
      </c>
      <c r="C7" s="16" t="n">
        <v>54000</v>
      </c>
      <c r="D7" s="17" t="n">
        <v>1350000</v>
      </c>
      <c r="E7" s="18" t="n">
        <v>1519620.13698162</v>
      </c>
      <c r="F7" s="19" t="n">
        <v>2298561.80488131</v>
      </c>
      <c r="G7" s="22" t="n">
        <v>169620.136981617</v>
      </c>
      <c r="H7" s="23" t="n">
        <v>0.125644545912309</v>
      </c>
    </row>
    <row r="8" customFormat="false" ht="39.55" hidden="false" customHeight="false" outlineLevel="0" collapsed="false">
      <c r="A8" s="14" t="s">
        <v>44</v>
      </c>
      <c r="B8" s="15" t="n">
        <v>57</v>
      </c>
      <c r="C8" s="16" t="n">
        <v>66000</v>
      </c>
      <c r="D8" s="17" t="n">
        <v>1650000</v>
      </c>
      <c r="E8" s="18" t="n">
        <v>1626620.94246088</v>
      </c>
      <c r="F8" s="19" t="n">
        <v>2534222.42751448</v>
      </c>
      <c r="G8" s="20" t="n">
        <v>-23379.057539118</v>
      </c>
      <c r="H8" s="21" t="n">
        <v>-0.0141691257812836</v>
      </c>
    </row>
    <row r="9" customFormat="false" ht="64.9" hidden="false" customHeight="false" outlineLevel="0" collapsed="false">
      <c r="A9" s="14" t="s">
        <v>45</v>
      </c>
      <c r="B9" s="15" t="n">
        <v>54</v>
      </c>
      <c r="C9" s="16" t="n">
        <v>36000</v>
      </c>
      <c r="D9" s="17" t="n">
        <v>900000</v>
      </c>
      <c r="E9" s="18" t="n">
        <v>1398173.35149928</v>
      </c>
      <c r="F9" s="19" t="n">
        <v>1993460.8775983</v>
      </c>
      <c r="G9" s="22" t="n">
        <v>498173.351499276</v>
      </c>
      <c r="H9" s="23" t="n">
        <v>0.553525946110307</v>
      </c>
    </row>
    <row r="10" customFormat="false" ht="52.2" hidden="false" customHeight="false" outlineLevel="0" collapsed="false">
      <c r="A10" s="14" t="s">
        <v>46</v>
      </c>
      <c r="B10" s="15" t="n">
        <v>54</v>
      </c>
      <c r="C10" s="16" t="n">
        <v>30000</v>
      </c>
      <c r="D10" s="17" t="n">
        <v>750000</v>
      </c>
      <c r="E10" s="18" t="n">
        <v>1404173.35149928</v>
      </c>
      <c r="F10" s="19" t="n">
        <v>2002015.44291938</v>
      </c>
      <c r="G10" s="22" t="n">
        <v>654173.351499276</v>
      </c>
      <c r="H10" s="23" t="n">
        <v>0.872231135332368</v>
      </c>
    </row>
    <row r="11" customFormat="false" ht="39.55" hidden="false" customHeight="false" outlineLevel="0" collapsed="false">
      <c r="A11" s="14" t="s">
        <v>47</v>
      </c>
      <c r="B11" s="15" t="n">
        <v>55</v>
      </c>
      <c r="C11" s="16" t="n">
        <v>42000</v>
      </c>
      <c r="D11" s="17" t="n">
        <v>1050000</v>
      </c>
      <c r="E11" s="18" t="n">
        <v>1502196.28555925</v>
      </c>
      <c r="F11" s="19" t="n">
        <v>2206025.88956547</v>
      </c>
      <c r="G11" s="22" t="n">
        <v>452196.285559247</v>
      </c>
      <c r="H11" s="23" t="n">
        <v>0.430663129104045</v>
      </c>
    </row>
    <row r="12" customFormat="false" ht="26.85" hidden="false" customHeight="false" outlineLevel="0" collapsed="false">
      <c r="A12" s="14" t="s">
        <v>48</v>
      </c>
      <c r="B12" s="15" t="n">
        <v>58</v>
      </c>
      <c r="C12" s="16" t="n">
        <v>78000</v>
      </c>
      <c r="D12" s="17" t="n">
        <v>1950000</v>
      </c>
      <c r="E12" s="18" t="n">
        <v>1738381.78015932</v>
      </c>
      <c r="F12" s="19" t="n">
        <v>2789592.43623367</v>
      </c>
      <c r="G12" s="20" t="n">
        <v>-211618.219840683</v>
      </c>
      <c r="H12" s="21" t="n">
        <v>-0.108522164020863</v>
      </c>
    </row>
    <row r="13" customFormat="false" ht="26.85" hidden="false" customHeight="false" outlineLevel="0" collapsed="false">
      <c r="A13" s="14" t="s">
        <v>49</v>
      </c>
      <c r="B13" s="15" t="n">
        <v>61</v>
      </c>
      <c r="C13" s="16" t="n">
        <v>120000</v>
      </c>
      <c r="D13" s="17" t="n">
        <v>3000000</v>
      </c>
      <c r="E13" s="18" t="n">
        <v>2183166.88435713</v>
      </c>
      <c r="F13" s="19" t="n">
        <v>3828196.34659771</v>
      </c>
      <c r="G13" s="20" t="n">
        <v>-816833.115642869</v>
      </c>
      <c r="H13" s="21" t="n">
        <v>-0.27227770521429</v>
      </c>
    </row>
    <row r="14" customFormat="false" ht="52.2" hidden="false" customHeight="false" outlineLevel="0" collapsed="false">
      <c r="A14" s="24" t="s">
        <v>50</v>
      </c>
      <c r="B14" s="25" t="n">
        <v>57</v>
      </c>
      <c r="C14" s="26" t="n">
        <v>63000</v>
      </c>
      <c r="D14" s="27" t="n">
        <v>1575000</v>
      </c>
      <c r="E14" s="28" t="n">
        <v>1629620.94246088</v>
      </c>
      <c r="F14" s="29" t="n">
        <v>2538896.32976428</v>
      </c>
      <c r="G14" s="30" t="n">
        <v>54620.942460882</v>
      </c>
      <c r="H14" s="31" t="n">
        <v>0.0346799634672267</v>
      </c>
    </row>
    <row r="15" customFormat="false" ht="64.9" hidden="false" customHeight="false" outlineLevel="0" collapsed="false">
      <c r="A15" s="24" t="s">
        <v>51</v>
      </c>
      <c r="B15" s="25" t="n">
        <v>57</v>
      </c>
      <c r="C15" s="26" t="n">
        <v>69000</v>
      </c>
      <c r="D15" s="27" t="n">
        <v>1725000</v>
      </c>
      <c r="E15" s="28" t="n">
        <v>1623620.94246088</v>
      </c>
      <c r="F15" s="29" t="n">
        <v>2529548.52526468</v>
      </c>
      <c r="G15" s="32" t="n">
        <v>-101379.057539118</v>
      </c>
      <c r="H15" s="33" t="n">
        <v>-0.0587704681386191</v>
      </c>
    </row>
    <row r="16" customFormat="false" ht="64.9" hidden="false" customHeight="false" outlineLevel="0" collapsed="false">
      <c r="A16" s="24" t="s">
        <v>52</v>
      </c>
      <c r="B16" s="25" t="n">
        <v>57</v>
      </c>
      <c r="C16" s="26" t="n">
        <v>57000</v>
      </c>
      <c r="D16" s="27" t="n">
        <v>1425000</v>
      </c>
      <c r="E16" s="28" t="n">
        <v>1635620.94246088</v>
      </c>
      <c r="F16" s="29" t="n">
        <v>2548244.13426389</v>
      </c>
      <c r="G16" s="30" t="n">
        <v>210620.942460882</v>
      </c>
      <c r="H16" s="31" t="n">
        <v>0.147804170147987</v>
      </c>
    </row>
    <row r="20" customFormat="false" ht="15" hidden="false" customHeight="false" outlineLevel="0" collapsed="false">
      <c r="A20" s="34" t="s">
        <v>53</v>
      </c>
      <c r="B20" s="34"/>
      <c r="C20" s="34"/>
      <c r="D20" s="34"/>
      <c r="E20" s="34"/>
      <c r="F20" s="34"/>
      <c r="G20" s="34"/>
      <c r="H20" s="34"/>
    </row>
    <row r="21" customFormat="false" ht="15" hidden="false" customHeight="false" outlineLevel="0" collapsed="false">
      <c r="A21" s="12" t="s">
        <v>54</v>
      </c>
      <c r="B21" s="12"/>
      <c r="C21" s="12"/>
      <c r="D21" s="12"/>
      <c r="E21" s="12"/>
      <c r="F21" s="12"/>
      <c r="G21" s="12"/>
      <c r="H21" s="12"/>
    </row>
    <row r="23" customFormat="false" ht="15" hidden="false" customHeight="false" outlineLevel="0" collapsed="false">
      <c r="A23" s="13" t="s">
        <v>55</v>
      </c>
      <c r="B23" s="13" t="s">
        <v>56</v>
      </c>
      <c r="C23" s="13" t="s">
        <v>57</v>
      </c>
      <c r="D23" s="13" t="s">
        <v>58</v>
      </c>
      <c r="E23" s="13" t="s">
        <v>59</v>
      </c>
      <c r="F23" s="13" t="s">
        <v>11</v>
      </c>
    </row>
    <row r="24" customFormat="false" ht="15" hidden="false" customHeight="false" outlineLevel="0" collapsed="false">
      <c r="A24" s="35" t="n">
        <v>42</v>
      </c>
      <c r="B24" s="36" t="s">
        <v>60</v>
      </c>
      <c r="C24" s="18" t="n">
        <v>473000</v>
      </c>
      <c r="D24" s="19" t="n">
        <v>473000</v>
      </c>
      <c r="E24" s="37" t="s">
        <v>61</v>
      </c>
      <c r="F24" s="38" t="s">
        <v>62</v>
      </c>
    </row>
    <row r="25" customFormat="false" ht="26.85" hidden="false" customHeight="false" outlineLevel="0" collapsed="false">
      <c r="A25" s="39" t="n">
        <v>49</v>
      </c>
      <c r="B25" s="36" t="s">
        <v>63</v>
      </c>
      <c r="C25" s="18" t="n">
        <v>1020000</v>
      </c>
      <c r="D25" s="19" t="n">
        <v>1255000</v>
      </c>
      <c r="E25" s="40" t="s">
        <v>64</v>
      </c>
      <c r="F25" s="38" t="s">
        <v>65</v>
      </c>
    </row>
    <row r="26" customFormat="false" ht="26.85" hidden="false" customHeight="false" outlineLevel="0" collapsed="false">
      <c r="A26" s="41" t="n">
        <v>53</v>
      </c>
      <c r="B26" s="36" t="s">
        <v>66</v>
      </c>
      <c r="C26" s="18" t="n">
        <v>1400000</v>
      </c>
      <c r="D26" s="19" t="n">
        <v>1945000</v>
      </c>
      <c r="E26" s="42" t="s">
        <v>67</v>
      </c>
      <c r="F26" s="38" t="s">
        <v>68</v>
      </c>
    </row>
    <row r="27" customFormat="false" ht="39.55" hidden="false" customHeight="false" outlineLevel="0" collapsed="false">
      <c r="A27" s="43" t="n">
        <v>55</v>
      </c>
      <c r="B27" s="36" t="s">
        <v>69</v>
      </c>
      <c r="C27" s="18" t="n">
        <v>1620000</v>
      </c>
      <c r="D27" s="19" t="n">
        <v>2376000</v>
      </c>
      <c r="E27" s="44" t="s">
        <v>70</v>
      </c>
      <c r="F27" s="38" t="s">
        <v>71</v>
      </c>
    </row>
    <row r="28" customFormat="false" ht="26.85" hidden="false" customHeight="false" outlineLevel="0" collapsed="false">
      <c r="A28" s="43" t="n">
        <v>57</v>
      </c>
      <c r="B28" s="36" t="s">
        <v>72</v>
      </c>
      <c r="C28" s="18" t="n">
        <v>1850000</v>
      </c>
      <c r="D28" s="19" t="n">
        <v>2876000</v>
      </c>
      <c r="E28" s="44" t="s">
        <v>73</v>
      </c>
      <c r="F28" s="38" t="s">
        <v>74</v>
      </c>
    </row>
    <row r="29" customFormat="false" ht="26.85" hidden="false" customHeight="false" outlineLevel="0" collapsed="false">
      <c r="A29" s="41" t="n">
        <v>59</v>
      </c>
      <c r="B29" s="36" t="s">
        <v>75</v>
      </c>
      <c r="C29" s="18" t="n">
        <v>2100000</v>
      </c>
      <c r="D29" s="19" t="n">
        <v>3465000</v>
      </c>
      <c r="E29" s="42" t="s">
        <v>76</v>
      </c>
      <c r="F29" s="38" t="s">
        <v>77</v>
      </c>
    </row>
    <row r="30" customFormat="false" ht="39.55" hidden="false" customHeight="false" outlineLevel="0" collapsed="false">
      <c r="A30" s="45" t="n">
        <v>61</v>
      </c>
      <c r="B30" s="36" t="s">
        <v>78</v>
      </c>
      <c r="C30" s="18" t="n">
        <v>2180000</v>
      </c>
      <c r="D30" s="19" t="n">
        <v>3817000</v>
      </c>
      <c r="E30" s="46" t="s">
        <v>79</v>
      </c>
      <c r="F30" s="38" t="s">
        <v>80</v>
      </c>
    </row>
    <row r="33" customFormat="false" ht="15" hidden="false" customHeight="false" outlineLevel="0" collapsed="false">
      <c r="A33" s="47" t="s">
        <v>81</v>
      </c>
      <c r="B33" s="47"/>
      <c r="C33" s="47"/>
      <c r="D33" s="47"/>
      <c r="E33" s="47"/>
      <c r="F33" s="47"/>
      <c r="G33" s="47"/>
      <c r="H33" s="47"/>
    </row>
  </sheetData>
  <mergeCells count="5">
    <mergeCell ref="A1:H1"/>
    <mergeCell ref="A2:H2"/>
    <mergeCell ref="A20:H20"/>
    <mergeCell ref="A21:H21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50"/>
    <col collapsed="false" customWidth="true" hidden="false" outlineLevel="0" max="8" min="7" style="0" width="18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1" t="s">
        <v>82</v>
      </c>
      <c r="B1" s="11"/>
      <c r="C1" s="11"/>
      <c r="D1" s="11"/>
      <c r="E1" s="11"/>
      <c r="F1" s="11"/>
      <c r="G1" s="11"/>
      <c r="H1" s="11"/>
      <c r="I1" s="11"/>
    </row>
    <row r="2" customFormat="false" ht="15" hidden="false" customHeight="false" outlineLevel="0" collapsed="false">
      <c r="A2" s="12" t="s">
        <v>83</v>
      </c>
      <c r="B2" s="12"/>
      <c r="C2" s="12"/>
      <c r="D2" s="12"/>
      <c r="E2" s="12"/>
      <c r="F2" s="12"/>
      <c r="G2" s="12"/>
      <c r="H2" s="12"/>
      <c r="I2" s="12"/>
    </row>
    <row r="4" customFormat="false" ht="15" hidden="false" customHeight="false" outlineLevel="0" collapsed="false">
      <c r="A4" s="13" t="s">
        <v>3</v>
      </c>
      <c r="B4" s="13" t="s">
        <v>84</v>
      </c>
      <c r="C4" s="13" t="s">
        <v>85</v>
      </c>
      <c r="D4" s="13" t="s">
        <v>86</v>
      </c>
      <c r="E4" s="13" t="s">
        <v>87</v>
      </c>
      <c r="F4" s="13" t="s">
        <v>88</v>
      </c>
      <c r="G4" s="13" t="s">
        <v>89</v>
      </c>
      <c r="H4" s="13" t="s">
        <v>90</v>
      </c>
      <c r="I4" s="13" t="s">
        <v>91</v>
      </c>
    </row>
    <row r="5" customFormat="false" ht="129.75" hidden="false" customHeight="true" outlineLevel="0" collapsed="false">
      <c r="A5" s="48" t="n">
        <v>1</v>
      </c>
      <c r="B5" s="49" t="s">
        <v>42</v>
      </c>
      <c r="C5" s="35" t="s">
        <v>92</v>
      </c>
      <c r="D5" s="50" t="s">
        <v>93</v>
      </c>
      <c r="E5" s="50" t="s">
        <v>94</v>
      </c>
      <c r="F5" s="50" t="s">
        <v>95</v>
      </c>
      <c r="G5" s="50" t="s">
        <v>96</v>
      </c>
      <c r="H5" s="50" t="s">
        <v>97</v>
      </c>
      <c r="I5" s="50" t="s">
        <v>98</v>
      </c>
    </row>
    <row r="6" customFormat="false" ht="129.75" hidden="false" customHeight="true" outlineLevel="0" collapsed="false">
      <c r="A6" s="48" t="n">
        <v>2</v>
      </c>
      <c r="B6" s="49" t="s">
        <v>99</v>
      </c>
      <c r="C6" s="35" t="s">
        <v>92</v>
      </c>
      <c r="D6" s="50" t="s">
        <v>100</v>
      </c>
      <c r="E6" s="50" t="s">
        <v>101</v>
      </c>
      <c r="F6" s="50" t="s">
        <v>102</v>
      </c>
      <c r="G6" s="50" t="s">
        <v>103</v>
      </c>
      <c r="H6" s="50" t="s">
        <v>104</v>
      </c>
      <c r="I6" s="50" t="s">
        <v>105</v>
      </c>
    </row>
    <row r="7" customFormat="false" ht="129.75" hidden="false" customHeight="true" outlineLevel="0" collapsed="false">
      <c r="A7" s="48" t="n">
        <v>3</v>
      </c>
      <c r="B7" s="49" t="s">
        <v>44</v>
      </c>
      <c r="C7" s="51" t="s">
        <v>106</v>
      </c>
      <c r="D7" s="50" t="s">
        <v>107</v>
      </c>
      <c r="E7" s="50" t="s">
        <v>108</v>
      </c>
      <c r="F7" s="50" t="s">
        <v>109</v>
      </c>
      <c r="G7" s="50" t="s">
        <v>110</v>
      </c>
      <c r="H7" s="50" t="s">
        <v>111</v>
      </c>
      <c r="I7" s="50" t="s">
        <v>112</v>
      </c>
    </row>
    <row r="8" customFormat="false" ht="129.75" hidden="false" customHeight="true" outlineLevel="0" collapsed="false">
      <c r="A8" s="48" t="n">
        <v>4</v>
      </c>
      <c r="B8" s="49" t="s">
        <v>46</v>
      </c>
      <c r="C8" s="51" t="s">
        <v>106</v>
      </c>
      <c r="D8" s="50" t="s">
        <v>113</v>
      </c>
      <c r="E8" s="50" t="s">
        <v>114</v>
      </c>
      <c r="F8" s="50" t="s">
        <v>115</v>
      </c>
      <c r="G8" s="50" t="s">
        <v>116</v>
      </c>
      <c r="H8" s="50" t="s">
        <v>117</v>
      </c>
      <c r="I8" s="50" t="s">
        <v>118</v>
      </c>
    </row>
    <row r="9" customFormat="false" ht="129.75" hidden="false" customHeight="true" outlineLevel="0" collapsed="false">
      <c r="A9" s="48" t="n">
        <v>5</v>
      </c>
      <c r="B9" s="49" t="s">
        <v>43</v>
      </c>
      <c r="C9" s="51" t="s">
        <v>106</v>
      </c>
      <c r="D9" s="50" t="s">
        <v>119</v>
      </c>
      <c r="E9" s="50" t="s">
        <v>120</v>
      </c>
      <c r="F9" s="50" t="s">
        <v>121</v>
      </c>
      <c r="G9" s="50" t="s">
        <v>122</v>
      </c>
      <c r="H9" s="50" t="s">
        <v>123</v>
      </c>
      <c r="I9" s="50" t="s">
        <v>124</v>
      </c>
    </row>
    <row r="10" customFormat="false" ht="129.75" hidden="false" customHeight="true" outlineLevel="0" collapsed="false">
      <c r="A10" s="48" t="n">
        <v>6</v>
      </c>
      <c r="B10" s="49" t="s">
        <v>47</v>
      </c>
      <c r="C10" s="52" t="s">
        <v>125</v>
      </c>
      <c r="D10" s="50" t="s">
        <v>126</v>
      </c>
      <c r="E10" s="50" t="s">
        <v>127</v>
      </c>
      <c r="F10" s="50" t="s">
        <v>128</v>
      </c>
      <c r="G10" s="50" t="s">
        <v>129</v>
      </c>
      <c r="H10" s="50" t="s">
        <v>130</v>
      </c>
      <c r="I10" s="50" t="s">
        <v>131</v>
      </c>
    </row>
    <row r="11" customFormat="false" ht="129.75" hidden="false" customHeight="true" outlineLevel="0" collapsed="false">
      <c r="A11" s="48" t="n">
        <v>7</v>
      </c>
      <c r="B11" s="49" t="s">
        <v>45</v>
      </c>
      <c r="C11" s="53" t="s">
        <v>132</v>
      </c>
      <c r="D11" s="50" t="s">
        <v>133</v>
      </c>
      <c r="E11" s="50" t="s">
        <v>134</v>
      </c>
      <c r="F11" s="50" t="s">
        <v>135</v>
      </c>
      <c r="G11" s="50" t="s">
        <v>136</v>
      </c>
      <c r="H11" s="50" t="s">
        <v>137</v>
      </c>
      <c r="I11" s="50" t="s">
        <v>138</v>
      </c>
    </row>
    <row r="12" customFormat="false" ht="129.75" hidden="false" customHeight="true" outlineLevel="0" collapsed="false">
      <c r="A12" s="48" t="n">
        <v>8</v>
      </c>
      <c r="B12" s="49" t="s">
        <v>48</v>
      </c>
      <c r="C12" s="45" t="s">
        <v>139</v>
      </c>
      <c r="D12" s="50" t="s">
        <v>140</v>
      </c>
      <c r="E12" s="50" t="s">
        <v>134</v>
      </c>
      <c r="F12" s="50" t="s">
        <v>141</v>
      </c>
      <c r="G12" s="50" t="s">
        <v>142</v>
      </c>
      <c r="H12" s="50" t="s">
        <v>143</v>
      </c>
      <c r="I12" s="50" t="s">
        <v>144</v>
      </c>
    </row>
    <row r="13" customFormat="false" ht="129.75" hidden="false" customHeight="true" outlineLevel="0" collapsed="false">
      <c r="A13" s="48" t="n">
        <v>9</v>
      </c>
      <c r="B13" s="49" t="s">
        <v>49</v>
      </c>
      <c r="C13" s="45" t="s">
        <v>139</v>
      </c>
      <c r="D13" s="50" t="s">
        <v>145</v>
      </c>
      <c r="E13" s="50" t="s">
        <v>134</v>
      </c>
      <c r="F13" s="50" t="s">
        <v>146</v>
      </c>
      <c r="G13" s="50" t="s">
        <v>147</v>
      </c>
      <c r="H13" s="50" t="s">
        <v>148</v>
      </c>
      <c r="I13" s="50" t="s">
        <v>149</v>
      </c>
    </row>
    <row r="16" customFormat="false" ht="15" hidden="false" customHeight="false" outlineLevel="0" collapsed="false">
      <c r="A16" s="34" t="s">
        <v>150</v>
      </c>
      <c r="B16" s="34"/>
      <c r="C16" s="34"/>
      <c r="D16" s="34"/>
      <c r="E16" s="34"/>
      <c r="F16" s="34"/>
      <c r="G16" s="34"/>
      <c r="H16" s="34"/>
      <c r="I16" s="34"/>
    </row>
    <row r="18" customFormat="false" ht="15" hidden="false" customHeight="false" outlineLevel="0" collapsed="false">
      <c r="A18" s="13" t="s">
        <v>151</v>
      </c>
      <c r="B18" s="13" t="s">
        <v>84</v>
      </c>
      <c r="C18" s="13" t="s">
        <v>152</v>
      </c>
      <c r="D18" s="13" t="s">
        <v>153</v>
      </c>
    </row>
    <row r="19" customFormat="false" ht="129.75" hidden="false" customHeight="true" outlineLevel="0" collapsed="false">
      <c r="A19" s="48" t="n">
        <v>1</v>
      </c>
      <c r="B19" s="49" t="s">
        <v>42</v>
      </c>
      <c r="C19" s="50" t="s">
        <v>154</v>
      </c>
      <c r="D19" s="50"/>
      <c r="E19" s="50"/>
      <c r="F19" s="54"/>
      <c r="G19" s="54"/>
      <c r="H19" s="54"/>
      <c r="I19" s="54"/>
    </row>
    <row r="20" customFormat="false" ht="129.75" hidden="false" customHeight="true" outlineLevel="0" collapsed="false">
      <c r="A20" s="48" t="n">
        <v>2</v>
      </c>
      <c r="B20" s="49" t="s">
        <v>99</v>
      </c>
      <c r="C20" s="50" t="s">
        <v>155</v>
      </c>
      <c r="D20" s="50"/>
      <c r="E20" s="50"/>
      <c r="F20" s="54"/>
      <c r="G20" s="54"/>
      <c r="H20" s="54"/>
      <c r="I20" s="54"/>
    </row>
    <row r="21" customFormat="false" ht="129.75" hidden="false" customHeight="true" outlineLevel="0" collapsed="false">
      <c r="A21" s="48" t="n">
        <v>3</v>
      </c>
      <c r="B21" s="49" t="s">
        <v>44</v>
      </c>
      <c r="C21" s="50" t="s">
        <v>156</v>
      </c>
      <c r="D21" s="50"/>
      <c r="E21" s="50"/>
      <c r="F21" s="54"/>
      <c r="G21" s="54"/>
      <c r="H21" s="54"/>
      <c r="I21" s="54"/>
    </row>
    <row r="22" customFormat="false" ht="129.75" hidden="false" customHeight="true" outlineLevel="0" collapsed="false">
      <c r="A22" s="48" t="n">
        <v>4</v>
      </c>
      <c r="B22" s="49" t="s">
        <v>46</v>
      </c>
      <c r="C22" s="50" t="s">
        <v>157</v>
      </c>
      <c r="D22" s="50"/>
      <c r="E22" s="50"/>
      <c r="F22" s="54"/>
      <c r="G22" s="54"/>
      <c r="H22" s="54"/>
      <c r="I22" s="54"/>
    </row>
    <row r="23" customFormat="false" ht="129.75" hidden="false" customHeight="true" outlineLevel="0" collapsed="false">
      <c r="A23" s="48" t="n">
        <v>5</v>
      </c>
      <c r="B23" s="49" t="s">
        <v>43</v>
      </c>
      <c r="C23" s="50" t="s">
        <v>158</v>
      </c>
      <c r="D23" s="50"/>
      <c r="E23" s="50"/>
      <c r="F23" s="54"/>
      <c r="G23" s="54"/>
      <c r="H23" s="54"/>
      <c r="I23" s="54"/>
    </row>
    <row r="24" customFormat="false" ht="129.75" hidden="false" customHeight="true" outlineLevel="0" collapsed="false">
      <c r="A24" s="48" t="n">
        <v>6</v>
      </c>
      <c r="B24" s="49" t="s">
        <v>47</v>
      </c>
      <c r="C24" s="50" t="s">
        <v>159</v>
      </c>
      <c r="D24" s="50"/>
      <c r="E24" s="50"/>
      <c r="F24" s="54"/>
      <c r="G24" s="54"/>
      <c r="H24" s="54"/>
      <c r="I24" s="54"/>
    </row>
    <row r="25" customFormat="false" ht="129.75" hidden="false" customHeight="true" outlineLevel="0" collapsed="false">
      <c r="A25" s="48" t="n">
        <v>7</v>
      </c>
      <c r="B25" s="49" t="s">
        <v>45</v>
      </c>
      <c r="C25" s="50" t="s">
        <v>160</v>
      </c>
      <c r="D25" s="50"/>
      <c r="E25" s="50"/>
      <c r="F25" s="54"/>
      <c r="G25" s="54"/>
      <c r="H25" s="54"/>
      <c r="I25" s="54"/>
    </row>
    <row r="26" customFormat="false" ht="129.75" hidden="false" customHeight="true" outlineLevel="0" collapsed="false">
      <c r="A26" s="48" t="n">
        <v>8</v>
      </c>
      <c r="B26" s="49" t="s">
        <v>48</v>
      </c>
      <c r="C26" s="50" t="s">
        <v>161</v>
      </c>
      <c r="D26" s="50"/>
      <c r="E26" s="50"/>
      <c r="F26" s="54"/>
      <c r="G26" s="54"/>
      <c r="H26" s="54"/>
      <c r="I26" s="54"/>
    </row>
    <row r="27" customFormat="false" ht="129.75" hidden="false" customHeight="true" outlineLevel="0" collapsed="false">
      <c r="A27" s="48" t="n">
        <v>9</v>
      </c>
      <c r="B27" s="49" t="s">
        <v>49</v>
      </c>
      <c r="C27" s="50" t="s">
        <v>162</v>
      </c>
      <c r="D27" s="50"/>
      <c r="E27" s="50"/>
      <c r="F27" s="54"/>
      <c r="G27" s="54"/>
      <c r="H27" s="54"/>
      <c r="I27" s="54"/>
    </row>
  </sheetData>
  <mergeCells count="21">
    <mergeCell ref="A1:I1"/>
    <mergeCell ref="A2:I2"/>
    <mergeCell ref="A16:I16"/>
    <mergeCell ref="C19:E19"/>
    <mergeCell ref="F19:I19"/>
    <mergeCell ref="C20:E20"/>
    <mergeCell ref="F20:I20"/>
    <mergeCell ref="C21:E21"/>
    <mergeCell ref="F21:I21"/>
    <mergeCell ref="C22:E22"/>
    <mergeCell ref="F22:I22"/>
    <mergeCell ref="C23:E23"/>
    <mergeCell ref="F23:I23"/>
    <mergeCell ref="C24:E24"/>
    <mergeCell ref="F24:I24"/>
    <mergeCell ref="C25:E25"/>
    <mergeCell ref="F25:I25"/>
    <mergeCell ref="C26:E26"/>
    <mergeCell ref="F26:I26"/>
    <mergeCell ref="C27:E27"/>
    <mergeCell ref="F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1" t="s">
        <v>163</v>
      </c>
      <c r="B1" s="11"/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A2" s="12" t="s">
        <v>164</v>
      </c>
      <c r="B2" s="12"/>
      <c r="C2" s="12"/>
      <c r="D2" s="12"/>
      <c r="E2" s="12"/>
      <c r="F2" s="12"/>
      <c r="G2" s="12"/>
      <c r="H2" s="12"/>
    </row>
    <row r="4" customFormat="false" ht="26.85" hidden="false" customHeight="false" outlineLevel="0" collapsed="false">
      <c r="A4" s="13" t="s">
        <v>165</v>
      </c>
      <c r="B4" s="13" t="s">
        <v>35</v>
      </c>
      <c r="C4" s="13" t="s">
        <v>166</v>
      </c>
      <c r="D4" s="13" t="s">
        <v>7</v>
      </c>
      <c r="E4" s="13" t="s">
        <v>34</v>
      </c>
      <c r="F4" s="13" t="s">
        <v>167</v>
      </c>
      <c r="G4" s="13" t="s">
        <v>168</v>
      </c>
      <c r="H4" s="13" t="s">
        <v>169</v>
      </c>
    </row>
    <row r="5" customFormat="false" ht="60" hidden="false" customHeight="true" outlineLevel="0" collapsed="false">
      <c r="A5" s="55" t="s">
        <v>170</v>
      </c>
      <c r="B5" s="26" t="n">
        <v>63000</v>
      </c>
      <c r="C5" s="56" t="n">
        <v>5250</v>
      </c>
      <c r="D5" s="57" t="n">
        <v>15</v>
      </c>
      <c r="E5" s="25" t="n">
        <v>57</v>
      </c>
      <c r="F5" s="56" t="n">
        <v>892417.355521537</v>
      </c>
      <c r="G5" s="58" t="s">
        <v>171</v>
      </c>
      <c r="H5" s="58" t="s">
        <v>172</v>
      </c>
    </row>
    <row r="6" customFormat="false" ht="60" hidden="false" customHeight="true" outlineLevel="0" collapsed="false">
      <c r="A6" s="59" t="s">
        <v>173</v>
      </c>
      <c r="B6" s="16" t="n">
        <v>69000</v>
      </c>
      <c r="C6" s="60" t="n">
        <v>5750</v>
      </c>
      <c r="D6" s="61" t="n">
        <v>15</v>
      </c>
      <c r="E6" s="15" t="n">
        <v>57</v>
      </c>
      <c r="F6" s="60" t="n">
        <v>499745.591649637</v>
      </c>
      <c r="G6" s="50" t="s">
        <v>174</v>
      </c>
      <c r="H6" s="50" t="s">
        <v>175</v>
      </c>
    </row>
    <row r="7" customFormat="false" ht="60" hidden="false" customHeight="true" outlineLevel="0" collapsed="false">
      <c r="A7" s="59" t="s">
        <v>176</v>
      </c>
      <c r="B7" s="16" t="n">
        <v>57000</v>
      </c>
      <c r="C7" s="60" t="n">
        <v>4750</v>
      </c>
      <c r="D7" s="61" t="n">
        <v>15</v>
      </c>
      <c r="E7" s="15" t="n">
        <v>57</v>
      </c>
      <c r="F7" s="60" t="n">
        <v>1285089.11939344</v>
      </c>
      <c r="G7" s="50" t="s">
        <v>177</v>
      </c>
      <c r="H7" s="50" t="s">
        <v>178</v>
      </c>
    </row>
    <row r="8" customFormat="false" ht="60" hidden="false" customHeight="true" outlineLevel="0" collapsed="false">
      <c r="A8" s="59" t="s">
        <v>179</v>
      </c>
      <c r="B8" s="16" t="n">
        <v>63000</v>
      </c>
      <c r="C8" s="60" t="n">
        <v>5250</v>
      </c>
      <c r="D8" s="61" t="n">
        <v>15</v>
      </c>
      <c r="E8" s="15" t="n">
        <v>57</v>
      </c>
      <c r="F8" s="60" t="n">
        <v>892417.355521537</v>
      </c>
      <c r="G8" s="50" t="s">
        <v>103</v>
      </c>
      <c r="H8" s="50"/>
    </row>
    <row r="9" customFormat="false" ht="60" hidden="false" customHeight="true" outlineLevel="0" collapsed="false">
      <c r="A9" s="59" t="s">
        <v>180</v>
      </c>
      <c r="B9" s="16" t="n">
        <v>42000</v>
      </c>
      <c r="C9" s="60" t="n">
        <v>3500</v>
      </c>
      <c r="D9" s="61" t="n">
        <v>13</v>
      </c>
      <c r="E9" s="15" t="n">
        <v>55</v>
      </c>
      <c r="F9" s="60" t="n">
        <v>710510.021576641</v>
      </c>
      <c r="G9" s="50" t="s">
        <v>181</v>
      </c>
      <c r="H9" s="50" t="s">
        <v>182</v>
      </c>
    </row>
    <row r="10" customFormat="false" ht="60" hidden="false" customHeight="true" outlineLevel="0" collapsed="false">
      <c r="A10" s="59" t="s">
        <v>183</v>
      </c>
      <c r="B10" s="16" t="n">
        <v>78000</v>
      </c>
      <c r="C10" s="60" t="n">
        <v>6500</v>
      </c>
      <c r="D10" s="61" t="n">
        <v>16</v>
      </c>
      <c r="E10" s="15" t="n">
        <v>58</v>
      </c>
      <c r="F10" s="60" t="n">
        <v>1017588.10978243</v>
      </c>
      <c r="G10" s="50" t="s">
        <v>184</v>
      </c>
      <c r="H10" s="50" t="s">
        <v>185</v>
      </c>
    </row>
    <row r="13" customFormat="false" ht="15" hidden="false" customHeight="false" outlineLevel="0" collapsed="false">
      <c r="A13" s="62" t="s">
        <v>186</v>
      </c>
    </row>
    <row r="14" customFormat="false" ht="15" hidden="false" customHeight="false" outlineLevel="0" collapsed="false">
      <c r="A14" s="63" t="s">
        <v>187</v>
      </c>
      <c r="B14" s="63"/>
      <c r="C14" s="63"/>
      <c r="D14" s="63"/>
      <c r="E14" s="63"/>
      <c r="F14" s="63"/>
      <c r="G14" s="63"/>
      <c r="H14" s="63"/>
    </row>
    <row r="15" customFormat="false" ht="15" hidden="false" customHeight="false" outlineLevel="0" collapsed="false">
      <c r="A15" s="63" t="s">
        <v>188</v>
      </c>
      <c r="B15" s="63"/>
      <c r="C15" s="63"/>
      <c r="D15" s="63"/>
      <c r="E15" s="63"/>
      <c r="F15" s="63"/>
      <c r="G15" s="63"/>
      <c r="H15" s="63"/>
    </row>
    <row r="16" customFormat="false" ht="15" hidden="false" customHeight="false" outlineLevel="0" collapsed="false">
      <c r="A16" s="63" t="s">
        <v>189</v>
      </c>
      <c r="B16" s="63"/>
      <c r="C16" s="63"/>
      <c r="D16" s="63"/>
      <c r="E16" s="63"/>
      <c r="F16" s="63"/>
      <c r="G16" s="63"/>
      <c r="H16" s="63"/>
    </row>
    <row r="17" customFormat="false" ht="15" hidden="false" customHeight="false" outlineLevel="0" collapsed="false">
      <c r="A17" s="63" t="s">
        <v>190</v>
      </c>
      <c r="B17" s="63"/>
      <c r="C17" s="63"/>
      <c r="D17" s="63"/>
      <c r="E17" s="63"/>
      <c r="F17" s="63"/>
      <c r="G17" s="63"/>
      <c r="H17" s="63"/>
    </row>
    <row r="18" customFormat="false" ht="15" hidden="false" customHeight="false" outlineLevel="0" collapsed="false">
      <c r="A18" s="63" t="s">
        <v>191</v>
      </c>
      <c r="B18" s="63"/>
      <c r="C18" s="63"/>
      <c r="D18" s="63"/>
      <c r="E18" s="63"/>
      <c r="F18" s="63"/>
      <c r="G18" s="63"/>
      <c r="H18" s="63"/>
    </row>
    <row r="19" customFormat="false" ht="15" hidden="false" customHeight="false" outlineLevel="0" collapsed="false">
      <c r="A19" s="63" t="s">
        <v>192</v>
      </c>
      <c r="B19" s="63"/>
      <c r="C19" s="63"/>
      <c r="D19" s="63"/>
      <c r="E19" s="63"/>
      <c r="F19" s="63"/>
      <c r="G19" s="63"/>
      <c r="H19" s="63"/>
    </row>
  </sheetData>
  <mergeCells count="8">
    <mergeCell ref="A1:H1"/>
    <mergeCell ref="A2:H2"/>
    <mergeCell ref="A14:H14"/>
    <mergeCell ref="A15:H15"/>
    <mergeCell ref="A16:H16"/>
    <mergeCell ref="A17:H17"/>
    <mergeCell ref="A18:H18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2"/>
    <col collapsed="false" customWidth="true" hidden="false" outlineLevel="0" max="3" min="3" style="1" width="16"/>
  </cols>
  <sheetData>
    <row r="1" customFormat="false" ht="17.25" hidden="false" customHeight="true" outlineLevel="0" collapsed="false">
      <c r="A1" s="64" t="s">
        <v>193</v>
      </c>
      <c r="B1" s="64"/>
      <c r="C1" s="64"/>
    </row>
    <row r="3" customFormat="false" ht="15" hidden="false" customHeight="true" outlineLevel="0" collapsed="false">
      <c r="A3" s="5" t="s">
        <v>194</v>
      </c>
      <c r="B3" s="5" t="s">
        <v>195</v>
      </c>
      <c r="C3" s="5" t="s">
        <v>196</v>
      </c>
    </row>
    <row r="4" customFormat="false" ht="15" hidden="false" customHeight="true" outlineLevel="0" collapsed="false">
      <c r="A4" s="65" t="s">
        <v>197</v>
      </c>
      <c r="B4" s="7" t="s">
        <v>198</v>
      </c>
      <c r="C4" s="66" t="n">
        <v>42</v>
      </c>
    </row>
    <row r="5" customFormat="false" ht="15" hidden="false" customHeight="true" outlineLevel="0" collapsed="false">
      <c r="A5" s="65" t="s">
        <v>197</v>
      </c>
      <c r="B5" s="7" t="s">
        <v>199</v>
      </c>
      <c r="C5" s="66" t="n">
        <v>41</v>
      </c>
    </row>
    <row r="6" customFormat="false" ht="15" hidden="false" customHeight="true" outlineLevel="0" collapsed="false">
      <c r="A6" s="65" t="s">
        <v>197</v>
      </c>
      <c r="B6" s="7" t="s">
        <v>200</v>
      </c>
      <c r="C6" s="66" t="n">
        <v>10</v>
      </c>
    </row>
    <row r="7" customFormat="false" ht="15" hidden="false" customHeight="true" outlineLevel="0" collapsed="false">
      <c r="A7" s="65" t="s">
        <v>197</v>
      </c>
      <c r="B7" s="7" t="s">
        <v>201</v>
      </c>
      <c r="C7" s="66" t="n">
        <v>4</v>
      </c>
    </row>
    <row r="8" customFormat="false" ht="15" hidden="false" customHeight="true" outlineLevel="0" collapsed="false">
      <c r="A8" s="65" t="s">
        <v>197</v>
      </c>
      <c r="B8" s="7" t="s">
        <v>202</v>
      </c>
      <c r="C8" s="66" t="n">
        <v>100</v>
      </c>
    </row>
    <row r="9" customFormat="false" ht="15" hidden="false" customHeight="true" outlineLevel="0" collapsed="false">
      <c r="A9" s="65" t="s">
        <v>203</v>
      </c>
      <c r="B9" s="7" t="s">
        <v>204</v>
      </c>
      <c r="C9" s="8" t="n">
        <v>150000</v>
      </c>
    </row>
    <row r="10" customFormat="false" ht="15" hidden="false" customHeight="true" outlineLevel="0" collapsed="false">
      <c r="A10" s="65" t="s">
        <v>203</v>
      </c>
      <c r="B10" s="7" t="s">
        <v>205</v>
      </c>
      <c r="C10" s="67" t="n">
        <v>0.02</v>
      </c>
    </row>
    <row r="11" customFormat="false" ht="15" hidden="false" customHeight="true" outlineLevel="0" collapsed="false">
      <c r="A11" s="65" t="s">
        <v>203</v>
      </c>
      <c r="B11" s="7" t="s">
        <v>206</v>
      </c>
      <c r="C11" s="67" t="n">
        <v>0.28</v>
      </c>
    </row>
    <row r="12" customFormat="false" ht="15" hidden="false" customHeight="true" outlineLevel="0" collapsed="false">
      <c r="A12" s="65" t="s">
        <v>207</v>
      </c>
      <c r="B12" s="7" t="s">
        <v>208</v>
      </c>
      <c r="C12" s="8" t="n">
        <v>25000</v>
      </c>
    </row>
    <row r="13" customFormat="false" ht="15" hidden="false" customHeight="true" outlineLevel="0" collapsed="false">
      <c r="A13" s="65" t="s">
        <v>207</v>
      </c>
      <c r="B13" s="7" t="s">
        <v>209</v>
      </c>
      <c r="C13" s="8" t="n">
        <v>58000</v>
      </c>
    </row>
    <row r="14" customFormat="false" ht="15" hidden="false" customHeight="true" outlineLevel="0" collapsed="false">
      <c r="A14" s="65" t="s">
        <v>207</v>
      </c>
      <c r="B14" s="7" t="s">
        <v>210</v>
      </c>
      <c r="C14" s="8" t="n">
        <v>190000</v>
      </c>
    </row>
    <row r="15" customFormat="false" ht="15" hidden="false" customHeight="true" outlineLevel="0" collapsed="false">
      <c r="A15" s="65" t="s">
        <v>207</v>
      </c>
      <c r="B15" s="7" t="s">
        <v>211</v>
      </c>
      <c r="C15" s="8" t="n">
        <v>200000</v>
      </c>
    </row>
    <row r="16" customFormat="false" ht="15" hidden="false" customHeight="true" outlineLevel="0" collapsed="false">
      <c r="A16" s="65" t="s">
        <v>207</v>
      </c>
      <c r="B16" s="7" t="s">
        <v>212</v>
      </c>
      <c r="C16" s="8" t="n">
        <v>0</v>
      </c>
    </row>
    <row r="17" customFormat="false" ht="15" hidden="false" customHeight="true" outlineLevel="0" collapsed="false">
      <c r="A17" s="65" t="s">
        <v>207</v>
      </c>
      <c r="B17" s="7" t="s">
        <v>213</v>
      </c>
      <c r="C17" s="8" t="n">
        <v>0</v>
      </c>
    </row>
    <row r="18" customFormat="false" ht="15" hidden="false" customHeight="true" outlineLevel="0" collapsed="false">
      <c r="A18" s="65" t="s">
        <v>207</v>
      </c>
      <c r="B18" s="7" t="s">
        <v>214</v>
      </c>
      <c r="C18" s="8" t="n">
        <v>473000</v>
      </c>
    </row>
    <row r="19" customFormat="false" ht="15" hidden="false" customHeight="true" outlineLevel="0" collapsed="false">
      <c r="A19" s="65" t="s">
        <v>215</v>
      </c>
      <c r="B19" s="7" t="s">
        <v>216</v>
      </c>
      <c r="C19" s="67" t="n">
        <v>0.07</v>
      </c>
    </row>
    <row r="20" customFormat="false" ht="15" hidden="false" customHeight="true" outlineLevel="0" collapsed="false">
      <c r="A20" s="65" t="s">
        <v>215</v>
      </c>
      <c r="B20" s="7" t="s">
        <v>217</v>
      </c>
      <c r="C20" s="67" t="n">
        <v>0.07</v>
      </c>
    </row>
    <row r="21" customFormat="false" ht="15" hidden="false" customHeight="true" outlineLevel="0" collapsed="false">
      <c r="A21" s="65" t="s">
        <v>215</v>
      </c>
      <c r="B21" s="7" t="s">
        <v>218</v>
      </c>
      <c r="C21" s="67" t="n">
        <v>0.03</v>
      </c>
    </row>
    <row r="22" customFormat="false" ht="15" hidden="false" customHeight="true" outlineLevel="0" collapsed="false">
      <c r="A22" s="65" t="s">
        <v>215</v>
      </c>
      <c r="B22" s="7" t="s">
        <v>219</v>
      </c>
      <c r="C22" s="67" t="n">
        <v>0.04</v>
      </c>
    </row>
    <row r="23" customFormat="false" ht="15" hidden="false" customHeight="true" outlineLevel="0" collapsed="false">
      <c r="A23" s="65" t="s">
        <v>220</v>
      </c>
      <c r="B23" s="7" t="s">
        <v>221</v>
      </c>
      <c r="C23" s="8" t="n">
        <v>2000</v>
      </c>
    </row>
    <row r="24" customFormat="false" ht="15" hidden="false" customHeight="true" outlineLevel="0" collapsed="false">
      <c r="A24" s="65" t="s">
        <v>220</v>
      </c>
      <c r="B24" s="7" t="s">
        <v>222</v>
      </c>
      <c r="C24" s="8" t="n">
        <v>24000</v>
      </c>
    </row>
    <row r="25" customFormat="false" ht="15" hidden="false" customHeight="true" outlineLevel="0" collapsed="false">
      <c r="A25" s="65" t="s">
        <v>220</v>
      </c>
      <c r="B25" s="7" t="s">
        <v>223</v>
      </c>
      <c r="C25" s="8" t="n">
        <v>8550</v>
      </c>
    </row>
    <row r="26" customFormat="false" ht="15" hidden="false" customHeight="true" outlineLevel="0" collapsed="false">
      <c r="A26" s="65" t="s">
        <v>220</v>
      </c>
      <c r="B26" s="7" t="s">
        <v>224</v>
      </c>
      <c r="C26" s="8" t="n">
        <v>2850</v>
      </c>
    </row>
    <row r="27" customFormat="false" ht="15" hidden="false" customHeight="true" outlineLevel="0" collapsed="false">
      <c r="A27" s="65" t="s">
        <v>220</v>
      </c>
      <c r="B27" s="7" t="s">
        <v>225</v>
      </c>
      <c r="C27" s="8" t="n">
        <v>7200</v>
      </c>
    </row>
    <row r="28" customFormat="false" ht="15" hidden="false" customHeight="true" outlineLevel="0" collapsed="false">
      <c r="A28" s="65" t="s">
        <v>220</v>
      </c>
      <c r="B28" s="7" t="s">
        <v>226</v>
      </c>
      <c r="C28" s="8" t="n">
        <v>42600</v>
      </c>
    </row>
    <row r="29" customFormat="false" ht="15" hidden="false" customHeight="true" outlineLevel="0" collapsed="false">
      <c r="A29" s="65" t="s">
        <v>227</v>
      </c>
      <c r="B29" s="7" t="s">
        <v>228</v>
      </c>
      <c r="C29" s="66" t="n">
        <v>67</v>
      </c>
    </row>
    <row r="30" customFormat="false" ht="15" hidden="false" customHeight="true" outlineLevel="0" collapsed="false">
      <c r="A30" s="65" t="s">
        <v>227</v>
      </c>
      <c r="B30" s="7" t="s">
        <v>229</v>
      </c>
      <c r="C30" s="67" t="n">
        <v>0.03</v>
      </c>
    </row>
    <row r="31" customFormat="false" ht="15" hidden="false" customHeight="true" outlineLevel="0" collapsed="false">
      <c r="A31" s="65" t="s">
        <v>230</v>
      </c>
      <c r="B31" s="7" t="s">
        <v>231</v>
      </c>
      <c r="C31" s="66" t="n">
        <v>2</v>
      </c>
    </row>
    <row r="32" customFormat="false" ht="15" hidden="false" customHeight="true" outlineLevel="0" collapsed="false">
      <c r="A32" s="65" t="s">
        <v>230</v>
      </c>
      <c r="B32" s="7" t="s">
        <v>232</v>
      </c>
      <c r="C32" s="66" t="n">
        <v>3</v>
      </c>
    </row>
    <row r="33" customFormat="false" ht="15" hidden="false" customHeight="true" outlineLevel="0" collapsed="false">
      <c r="A33" s="65" t="s">
        <v>233</v>
      </c>
      <c r="B33" s="7" t="s">
        <v>234</v>
      </c>
      <c r="C33" s="67" t="n">
        <v>0.04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3"/>
  </cols>
  <sheetData>
    <row r="1" customFormat="false" ht="17.25" hidden="false" customHeight="true" outlineLevel="0" collapsed="false">
      <c r="A1" s="64" t="s">
        <v>235</v>
      </c>
      <c r="B1" s="64"/>
      <c r="C1" s="64"/>
      <c r="D1" s="64"/>
      <c r="E1" s="64"/>
      <c r="F1" s="64"/>
      <c r="G1" s="64"/>
      <c r="H1" s="64"/>
      <c r="I1" s="64"/>
    </row>
    <row r="2" customFormat="false" ht="15" hidden="false" customHeight="true" outlineLevel="0" collapsed="false">
      <c r="A2" s="3" t="s">
        <v>236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5" t="s">
        <v>4</v>
      </c>
      <c r="B4" s="5" t="s">
        <v>237</v>
      </c>
      <c r="C4" s="5" t="s">
        <v>238</v>
      </c>
      <c r="D4" s="5" t="s">
        <v>239</v>
      </c>
      <c r="E4" s="5" t="s">
        <v>240</v>
      </c>
      <c r="F4" s="5" t="s">
        <v>241</v>
      </c>
      <c r="G4" s="5" t="s">
        <v>242</v>
      </c>
      <c r="H4" s="5" t="s">
        <v>243</v>
      </c>
      <c r="I4" s="5" t="s">
        <v>244</v>
      </c>
    </row>
    <row r="5" customFormat="false" ht="15" hidden="false" customHeight="true" outlineLevel="0" collapsed="false">
      <c r="A5" s="7" t="s">
        <v>26</v>
      </c>
      <c r="B5" s="8" t="n">
        <v>2800</v>
      </c>
      <c r="C5" s="8" t="n">
        <v>1500</v>
      </c>
      <c r="D5" s="8" t="n">
        <v>1100</v>
      </c>
      <c r="E5" s="8" t="n">
        <v>600</v>
      </c>
      <c r="F5" s="8" t="n">
        <v>800</v>
      </c>
      <c r="G5" s="8" t="n">
        <v>1200</v>
      </c>
      <c r="H5" s="68" t="n">
        <f aca="false">SUM(B5:G5)</f>
        <v>8000</v>
      </c>
      <c r="I5" s="68" t="n">
        <f aca="false">H5*12</f>
        <v>96000</v>
      </c>
    </row>
    <row r="6" customFormat="false" ht="15" hidden="false" customHeight="true" outlineLevel="0" collapsed="false">
      <c r="A6" s="7" t="s">
        <v>16</v>
      </c>
      <c r="B6" s="8" t="n">
        <v>1100</v>
      </c>
      <c r="C6" s="8" t="n">
        <v>700</v>
      </c>
      <c r="D6" s="8" t="n">
        <v>250</v>
      </c>
      <c r="E6" s="8" t="n">
        <v>200</v>
      </c>
      <c r="F6" s="8" t="n">
        <v>500</v>
      </c>
      <c r="G6" s="8" t="n">
        <v>750</v>
      </c>
      <c r="H6" s="68" t="n">
        <f aca="false">SUM(B6:G6)</f>
        <v>3500</v>
      </c>
      <c r="I6" s="68" t="n">
        <f aca="false">H6*12</f>
        <v>42000</v>
      </c>
    </row>
    <row r="7" customFormat="false" ht="15" hidden="false" customHeight="true" outlineLevel="0" collapsed="false">
      <c r="A7" s="7" t="s">
        <v>20</v>
      </c>
      <c r="B7" s="8" t="n">
        <v>1700</v>
      </c>
      <c r="C7" s="8" t="n">
        <v>800</v>
      </c>
      <c r="D7" s="8" t="n">
        <v>450</v>
      </c>
      <c r="E7" s="8" t="n">
        <v>250</v>
      </c>
      <c r="F7" s="8" t="n">
        <v>700</v>
      </c>
      <c r="G7" s="8" t="n">
        <v>600</v>
      </c>
      <c r="H7" s="68" t="n">
        <f aca="false">SUM(B7:G7)</f>
        <v>4500</v>
      </c>
      <c r="I7" s="68" t="n">
        <f aca="false">H7*12</f>
        <v>54000</v>
      </c>
    </row>
    <row r="8" customFormat="false" ht="15" hidden="false" customHeight="true" outlineLevel="0" collapsed="false">
      <c r="A8" s="7" t="s">
        <v>22</v>
      </c>
      <c r="B8" s="8" t="n">
        <v>2200</v>
      </c>
      <c r="C8" s="8" t="n">
        <v>1000</v>
      </c>
      <c r="D8" s="8" t="n">
        <v>600</v>
      </c>
      <c r="E8" s="8" t="n">
        <v>300</v>
      </c>
      <c r="F8" s="8" t="n">
        <v>700</v>
      </c>
      <c r="G8" s="8" t="n">
        <v>700</v>
      </c>
      <c r="H8" s="68" t="n">
        <f aca="false">SUM(B8:G8)</f>
        <v>5500</v>
      </c>
      <c r="I8" s="68" t="n">
        <f aca="false">H8*12</f>
        <v>66000</v>
      </c>
    </row>
    <row r="9" customFormat="false" ht="15" hidden="false" customHeight="true" outlineLevel="0" collapsed="false">
      <c r="A9" s="7" t="s">
        <v>12</v>
      </c>
      <c r="B9" s="8" t="n">
        <v>900</v>
      </c>
      <c r="C9" s="8" t="n">
        <v>500</v>
      </c>
      <c r="D9" s="8" t="n">
        <v>300</v>
      </c>
      <c r="E9" s="8" t="n">
        <v>200</v>
      </c>
      <c r="F9" s="8" t="n">
        <v>500</v>
      </c>
      <c r="G9" s="8" t="n">
        <v>600</v>
      </c>
      <c r="H9" s="68" t="n">
        <f aca="false">SUM(B9:G9)</f>
        <v>3000</v>
      </c>
      <c r="I9" s="68" t="n">
        <f aca="false">H9*12</f>
        <v>36000</v>
      </c>
    </row>
    <row r="10" customFormat="false" ht="15" hidden="false" customHeight="true" outlineLevel="0" collapsed="false">
      <c r="A10" s="7" t="s">
        <v>14</v>
      </c>
      <c r="B10" s="8" t="n">
        <v>800</v>
      </c>
      <c r="C10" s="8" t="n">
        <v>450</v>
      </c>
      <c r="D10" s="8" t="n">
        <v>250</v>
      </c>
      <c r="E10" s="8" t="n">
        <v>200</v>
      </c>
      <c r="F10" s="8" t="n">
        <v>400</v>
      </c>
      <c r="G10" s="8" t="n">
        <v>400</v>
      </c>
      <c r="H10" s="68" t="n">
        <f aca="false">SUM(B10:G10)</f>
        <v>2500</v>
      </c>
      <c r="I10" s="68" t="n">
        <f aca="false">H10*12</f>
        <v>30000</v>
      </c>
    </row>
    <row r="11" customFormat="false" ht="15" hidden="false" customHeight="true" outlineLevel="0" collapsed="false">
      <c r="A11" s="7" t="s">
        <v>18</v>
      </c>
      <c r="B11" s="8" t="n">
        <v>1300</v>
      </c>
      <c r="C11" s="8" t="n">
        <v>600</v>
      </c>
      <c r="D11" s="8" t="n">
        <v>350</v>
      </c>
      <c r="E11" s="8" t="n">
        <v>200</v>
      </c>
      <c r="F11" s="8" t="n">
        <v>500</v>
      </c>
      <c r="G11" s="8" t="n">
        <v>550</v>
      </c>
      <c r="H11" s="68" t="n">
        <f aca="false">SUM(B11:G11)</f>
        <v>3500</v>
      </c>
      <c r="I11" s="68" t="n">
        <f aca="false">H11*12</f>
        <v>42000</v>
      </c>
    </row>
    <row r="12" customFormat="false" ht="15" hidden="false" customHeight="true" outlineLevel="0" collapsed="false">
      <c r="A12" s="7" t="s">
        <v>24</v>
      </c>
      <c r="B12" s="8" t="n">
        <v>2200</v>
      </c>
      <c r="C12" s="8" t="n">
        <v>1100</v>
      </c>
      <c r="D12" s="8" t="n">
        <v>350</v>
      </c>
      <c r="E12" s="8" t="n">
        <v>250</v>
      </c>
      <c r="F12" s="8" t="n">
        <v>700</v>
      </c>
      <c r="G12" s="8" t="n">
        <v>900</v>
      </c>
      <c r="H12" s="68" t="n">
        <f aca="false">SUM(B12:G12)</f>
        <v>5500</v>
      </c>
      <c r="I12" s="68" t="n">
        <f aca="false">H12*12</f>
        <v>66000</v>
      </c>
    </row>
    <row r="13" customFormat="false" ht="15" hidden="false" customHeight="true" outlineLevel="0" collapsed="false">
      <c r="A13" s="7" t="s">
        <v>28</v>
      </c>
      <c r="B13" s="8" t="n">
        <v>4200</v>
      </c>
      <c r="C13" s="8" t="n">
        <v>1500</v>
      </c>
      <c r="D13" s="8" t="n">
        <v>850</v>
      </c>
      <c r="E13" s="8" t="n">
        <v>400</v>
      </c>
      <c r="F13" s="8" t="n">
        <v>1100</v>
      </c>
      <c r="G13" s="8" t="n">
        <v>1950</v>
      </c>
      <c r="H13" s="68" t="n">
        <f aca="false">SUM(B13:G13)</f>
        <v>10000</v>
      </c>
      <c r="I13" s="68" t="n">
        <f aca="false">H13*12</f>
        <v>120000</v>
      </c>
    </row>
    <row r="16" customFormat="false" ht="15" hidden="false" customHeight="true" outlineLevel="0" collapsed="false">
      <c r="A16" s="69" t="s">
        <v>245</v>
      </c>
    </row>
    <row r="17" customFormat="false" ht="15" hidden="false" customHeight="true" outlineLevel="0" collapsed="false">
      <c r="A17" s="70" t="s">
        <v>246</v>
      </c>
      <c r="B17" s="70"/>
      <c r="C17" s="70"/>
      <c r="D17" s="70"/>
      <c r="E17" s="70"/>
      <c r="F17" s="70"/>
      <c r="G17" s="70"/>
      <c r="H17" s="70"/>
      <c r="I17" s="70"/>
    </row>
    <row r="18" customFormat="false" ht="15" hidden="false" customHeight="true" outlineLevel="0" collapsed="false">
      <c r="A18" s="70" t="s">
        <v>247</v>
      </c>
      <c r="B18" s="70"/>
      <c r="C18" s="70"/>
      <c r="D18" s="70"/>
      <c r="E18" s="70"/>
      <c r="F18" s="70"/>
      <c r="G18" s="70"/>
      <c r="H18" s="70"/>
      <c r="I18" s="70"/>
    </row>
    <row r="19" customFormat="false" ht="15" hidden="false" customHeight="true" outlineLevel="0" collapsed="false">
      <c r="A19" s="70" t="s">
        <v>248</v>
      </c>
      <c r="B19" s="70"/>
      <c r="C19" s="70"/>
      <c r="D19" s="70"/>
      <c r="E19" s="70"/>
      <c r="F19" s="70"/>
      <c r="G19" s="70"/>
      <c r="H19" s="70"/>
      <c r="I19" s="70"/>
    </row>
    <row r="20" customFormat="false" ht="15" hidden="false" customHeight="true" outlineLevel="0" collapsed="false">
      <c r="A20" s="70" t="s">
        <v>249</v>
      </c>
      <c r="B20" s="70"/>
      <c r="C20" s="70"/>
      <c r="D20" s="70"/>
      <c r="E20" s="70"/>
      <c r="F20" s="70"/>
      <c r="G20" s="70"/>
      <c r="H20" s="70"/>
      <c r="I20" s="70"/>
    </row>
    <row r="21" customFormat="false" ht="15" hidden="false" customHeight="true" outlineLevel="0" collapsed="false">
      <c r="A21" s="70" t="s">
        <v>250</v>
      </c>
      <c r="B21" s="70"/>
      <c r="C21" s="70"/>
      <c r="D21" s="70"/>
      <c r="E21" s="70"/>
      <c r="F21" s="70"/>
      <c r="G21" s="70"/>
      <c r="H21" s="70"/>
      <c r="I21" s="70"/>
    </row>
    <row r="22" customFormat="false" ht="15" hidden="false" customHeight="true" outlineLevel="0" collapsed="false">
      <c r="A22" s="70" t="s">
        <v>251</v>
      </c>
      <c r="B22" s="70"/>
      <c r="C22" s="70"/>
      <c r="D22" s="70"/>
      <c r="E22" s="70"/>
      <c r="F22" s="70"/>
      <c r="G22" s="70"/>
      <c r="H22" s="70"/>
      <c r="I22" s="70"/>
    </row>
    <row r="23" customFormat="false" ht="15" hidden="false" customHeight="true" outlineLevel="0" collapsed="false">
      <c r="A23" s="70" t="s">
        <v>252</v>
      </c>
      <c r="B23" s="70"/>
      <c r="C23" s="70"/>
      <c r="D23" s="70"/>
      <c r="E23" s="70"/>
      <c r="F23" s="70"/>
      <c r="G23" s="70"/>
      <c r="H23" s="70"/>
      <c r="I23" s="70"/>
    </row>
  </sheetData>
  <mergeCells count="9">
    <mergeCell ref="A1:I1"/>
    <mergeCell ref="A2:I2"/>
    <mergeCell ref="A17:I17"/>
    <mergeCell ref="A18:I18"/>
    <mergeCell ref="A19:I19"/>
    <mergeCell ref="A20:I20"/>
    <mergeCell ref="A21:I21"/>
    <mergeCell ref="A22:I22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8"/>
  </cols>
  <sheetData>
    <row r="1" customFormat="false" ht="17.25" hidden="false" customHeight="true" outlineLevel="0" collapsed="false">
      <c r="A1" s="64" t="s">
        <v>253</v>
      </c>
      <c r="B1" s="64"/>
      <c r="C1" s="64"/>
      <c r="D1" s="64"/>
      <c r="E1" s="64"/>
      <c r="F1" s="64"/>
      <c r="G1" s="64"/>
    </row>
    <row r="2" customFormat="false" ht="15" hidden="false" customHeight="true" outlineLevel="0" collapsed="false">
      <c r="A2" s="3" t="s">
        <v>254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5" t="s">
        <v>84</v>
      </c>
      <c r="B4" s="5" t="s">
        <v>255</v>
      </c>
      <c r="C4" s="5" t="s">
        <v>256</v>
      </c>
      <c r="D4" s="5" t="s">
        <v>257</v>
      </c>
      <c r="E4" s="5" t="s">
        <v>258</v>
      </c>
      <c r="F4" s="5" t="s">
        <v>259</v>
      </c>
      <c r="G4" s="5" t="s">
        <v>260</v>
      </c>
    </row>
    <row r="5" customFormat="false" ht="15" hidden="false" customHeight="true" outlineLevel="0" collapsed="false">
      <c r="A5" s="7" t="s">
        <v>26</v>
      </c>
      <c r="B5" s="8" t="n">
        <v>96000</v>
      </c>
      <c r="C5" s="9" t="n">
        <f aca="false">B5*0.8</f>
        <v>76800</v>
      </c>
      <c r="D5" s="6" t="n">
        <v>59</v>
      </c>
      <c r="E5" s="9" t="n">
        <f aca="false">C5/0.04</f>
        <v>1920000</v>
      </c>
      <c r="F5" s="9" t="n">
        <f aca="false">B5*1.2</f>
        <v>115200</v>
      </c>
      <c r="G5" s="9" t="n">
        <f aca="false">F5/0.04</f>
        <v>2880000</v>
      </c>
    </row>
    <row r="6" customFormat="false" ht="15" hidden="false" customHeight="true" outlineLevel="0" collapsed="false">
      <c r="A6" s="7" t="s">
        <v>16</v>
      </c>
      <c r="B6" s="8" t="n">
        <v>42000</v>
      </c>
      <c r="C6" s="9" t="n">
        <f aca="false">B6*0.8</f>
        <v>33600</v>
      </c>
      <c r="D6" s="6" t="n">
        <v>55</v>
      </c>
      <c r="E6" s="9" t="n">
        <f aca="false">C6/0.04</f>
        <v>840000</v>
      </c>
      <c r="F6" s="9" t="n">
        <f aca="false">B6*1.2</f>
        <v>50400</v>
      </c>
      <c r="G6" s="9" t="n">
        <f aca="false">F6/0.04</f>
        <v>1260000</v>
      </c>
    </row>
    <row r="7" customFormat="false" ht="15" hidden="false" customHeight="true" outlineLevel="0" collapsed="false">
      <c r="A7" s="7" t="s">
        <v>20</v>
      </c>
      <c r="B7" s="8" t="n">
        <v>54000</v>
      </c>
      <c r="C7" s="9" t="n">
        <f aca="false">B7*0.8</f>
        <v>43200</v>
      </c>
      <c r="D7" s="6" t="n">
        <v>56</v>
      </c>
      <c r="E7" s="9" t="n">
        <f aca="false">C7/0.04</f>
        <v>1080000</v>
      </c>
      <c r="F7" s="9" t="n">
        <f aca="false">B7*1.2</f>
        <v>64800</v>
      </c>
      <c r="G7" s="9" t="n">
        <f aca="false">F7/0.04</f>
        <v>1620000</v>
      </c>
    </row>
    <row r="8" customFormat="false" ht="15" hidden="false" customHeight="true" outlineLevel="0" collapsed="false">
      <c r="A8" s="7" t="s">
        <v>22</v>
      </c>
      <c r="B8" s="8" t="n">
        <v>66000</v>
      </c>
      <c r="C8" s="9" t="n">
        <f aca="false">B8*0.8</f>
        <v>52800</v>
      </c>
      <c r="D8" s="6" t="n">
        <v>57</v>
      </c>
      <c r="E8" s="9" t="n">
        <f aca="false">C8/0.04</f>
        <v>1320000</v>
      </c>
      <c r="F8" s="9" t="n">
        <f aca="false">B8*1.2</f>
        <v>79200</v>
      </c>
      <c r="G8" s="9" t="n">
        <f aca="false">F8/0.04</f>
        <v>1980000</v>
      </c>
    </row>
    <row r="9" customFormat="false" ht="15" hidden="false" customHeight="true" outlineLevel="0" collapsed="false">
      <c r="A9" s="7" t="s">
        <v>12</v>
      </c>
      <c r="B9" s="8" t="n">
        <v>36000</v>
      </c>
      <c r="C9" s="9" t="n">
        <f aca="false">B9*0.8</f>
        <v>28800</v>
      </c>
      <c r="D9" s="6" t="n">
        <v>54</v>
      </c>
      <c r="E9" s="9" t="n">
        <f aca="false">C9/0.04</f>
        <v>720000</v>
      </c>
      <c r="F9" s="9" t="n">
        <f aca="false">B9*1.2</f>
        <v>43200</v>
      </c>
      <c r="G9" s="9" t="n">
        <f aca="false">F9/0.04</f>
        <v>1080000</v>
      </c>
    </row>
    <row r="10" customFormat="false" ht="15" hidden="false" customHeight="true" outlineLevel="0" collapsed="false">
      <c r="A10" s="7" t="s">
        <v>14</v>
      </c>
      <c r="B10" s="8" t="n">
        <v>30000</v>
      </c>
      <c r="C10" s="9" t="n">
        <f aca="false">B10*0.8</f>
        <v>24000</v>
      </c>
      <c r="D10" s="6" t="n">
        <v>54</v>
      </c>
      <c r="E10" s="9" t="n">
        <f aca="false">C10/0.04</f>
        <v>600000</v>
      </c>
      <c r="F10" s="9" t="n">
        <f aca="false">B10*1.2</f>
        <v>36000</v>
      </c>
      <c r="G10" s="9" t="n">
        <f aca="false">F10/0.04</f>
        <v>900000</v>
      </c>
    </row>
    <row r="11" customFormat="false" ht="15" hidden="false" customHeight="true" outlineLevel="0" collapsed="false">
      <c r="A11" s="7" t="s">
        <v>18</v>
      </c>
      <c r="B11" s="8" t="n">
        <v>42000</v>
      </c>
      <c r="C11" s="9" t="n">
        <f aca="false">B11*0.8</f>
        <v>33600</v>
      </c>
      <c r="D11" s="6" t="n">
        <v>55</v>
      </c>
      <c r="E11" s="9" t="n">
        <f aca="false">C11/0.04</f>
        <v>840000</v>
      </c>
      <c r="F11" s="9" t="n">
        <f aca="false">B11*1.2</f>
        <v>50400</v>
      </c>
      <c r="G11" s="9" t="n">
        <f aca="false">F11/0.04</f>
        <v>1260000</v>
      </c>
    </row>
    <row r="12" customFormat="false" ht="15" hidden="false" customHeight="true" outlineLevel="0" collapsed="false">
      <c r="A12" s="7" t="s">
        <v>24</v>
      </c>
      <c r="B12" s="8" t="n">
        <v>66000</v>
      </c>
      <c r="C12" s="9" t="n">
        <f aca="false">B12*0.8</f>
        <v>52800</v>
      </c>
      <c r="D12" s="6" t="n">
        <v>57</v>
      </c>
      <c r="E12" s="9" t="n">
        <f aca="false">C12/0.04</f>
        <v>1320000</v>
      </c>
      <c r="F12" s="9" t="n">
        <f aca="false">B12*1.2</f>
        <v>79200</v>
      </c>
      <c r="G12" s="9" t="n">
        <f aca="false">F12/0.04</f>
        <v>1980000</v>
      </c>
    </row>
    <row r="13" customFormat="false" ht="15" hidden="false" customHeight="true" outlineLevel="0" collapsed="false">
      <c r="A13" s="7" t="s">
        <v>28</v>
      </c>
      <c r="B13" s="8" t="n">
        <v>120000</v>
      </c>
      <c r="C13" s="9" t="n">
        <f aca="false">B13*0.8</f>
        <v>96000</v>
      </c>
      <c r="D13" s="6" t="n">
        <v>61</v>
      </c>
      <c r="E13" s="9" t="n">
        <f aca="false">C13/0.04</f>
        <v>2400000</v>
      </c>
      <c r="F13" s="9" t="n">
        <f aca="false">B13*1.2</f>
        <v>144000</v>
      </c>
      <c r="G13" s="9" t="n">
        <f aca="false">F13/0.04</f>
        <v>3600000</v>
      </c>
    </row>
    <row r="16" customFormat="false" ht="15" hidden="false" customHeight="true" outlineLevel="0" collapsed="false">
      <c r="A16" s="4" t="s">
        <v>261</v>
      </c>
      <c r="B16" s="4"/>
      <c r="C16" s="4"/>
      <c r="D16" s="4"/>
      <c r="E16" s="4"/>
      <c r="F16" s="4"/>
      <c r="G16" s="4"/>
    </row>
  </sheetData>
  <mergeCells count="3">
    <mergeCell ref="A1:G1"/>
    <mergeCell ref="A2:G2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2026-05-05T17:35:25Z</dcterms:created>
  <dc:creator>openpyxl</dc:creator>
  <dc:description/>
  <dc:language>en-US</dc:language>
  <cp:lastModifiedBy/>
  <dcterms:modified xsi:type="dcterms:W3CDTF">2026-05-06T14:25:18Z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